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ia\Documents\PRÁCTICA PRIVADA\"/>
    </mc:Choice>
  </mc:AlternateContent>
  <xr:revisionPtr revIDLastSave="0" documentId="13_ncr:1_{A5394FB4-08AC-49DA-9408-04B493FE7930}" xr6:coauthVersionLast="47" xr6:coauthVersionMax="47" xr10:uidLastSave="{00000000-0000-0000-0000-000000000000}"/>
  <bookViews>
    <workbookView xWindow="-120" yWindow="-120" windowWidth="20730" windowHeight="11040" xr2:uid="{0FFCC7C9-53D6-43A8-BCE7-C98FF9365B4B}"/>
  </bookViews>
  <sheets>
    <sheet name="RECETA" sheetId="1" r:id="rId1"/>
    <sheet name="DOSIS PEDIA" sheetId="3" r:id="rId2"/>
    <sheet name="MEDICAMENTOS" sheetId="2" r:id="rId3"/>
    <sheet name="POSOLOGÍA" sheetId="5" r:id="rId4"/>
    <sheet name="M. GRALES" sheetId="6" r:id="rId5"/>
  </sheets>
  <definedNames>
    <definedName name="LISTAMEDICAMENTOS">Medicamentos5[Medicamento]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D3" i="3" l="1"/>
  <c r="D8" i="3" l="1"/>
  <c r="E8" i="3" s="1"/>
  <c r="D5" i="3"/>
  <c r="E5" i="3" s="1"/>
  <c r="D4" i="3"/>
  <c r="E4" i="3" s="1"/>
  <c r="D7" i="3"/>
  <c r="E7" i="3" s="1"/>
  <c r="D6" i="3"/>
  <c r="E6" i="3" s="1"/>
  <c r="E3" i="3"/>
  <c r="D2" i="3"/>
  <c r="E2" i="3" s="1"/>
</calcChain>
</file>

<file path=xl/sharedStrings.xml><?xml version="1.0" encoding="utf-8"?>
<sst xmlns="http://schemas.openxmlformats.org/spreadsheetml/2006/main" count="328" uniqueCount="322">
  <si>
    <t>Dra. María del Cielo Alberto Galicia</t>
  </si>
  <si>
    <t xml:space="preserve">Paciente: </t>
  </si>
  <si>
    <t xml:space="preserve">Alergias: </t>
  </si>
  <si>
    <t xml:space="preserve">T/A: </t>
  </si>
  <si>
    <t xml:space="preserve">Temp: </t>
  </si>
  <si>
    <t>SpO2%:</t>
  </si>
  <si>
    <t>Edad:</t>
  </si>
  <si>
    <t xml:space="preserve">Calle Niños Héroes #503, Sección Segunda, Yehualtepec </t>
  </si>
  <si>
    <t xml:space="preserve">Benemérita Universidad Autónoma de Puebla </t>
  </si>
  <si>
    <t>Medicamento</t>
  </si>
  <si>
    <t xml:space="preserve">Clave </t>
  </si>
  <si>
    <t xml:space="preserve">Fecha: </t>
  </si>
  <si>
    <t>Albendazol 2g/100 Ml Suspensión</t>
  </si>
  <si>
    <t>Amikacina 500 Mg/2ml Ampula Inyectable</t>
  </si>
  <si>
    <t>Amlodipino 5mg Tabletas</t>
  </si>
  <si>
    <t>Ampicilina 250 Mg/5ml Polvo Para Suspensión</t>
  </si>
  <si>
    <t>Amoxicilina 500 Mg/5ml Polvo Para Suspensión</t>
  </si>
  <si>
    <t>Cefotaxima 1g Sol. Inyectable</t>
  </si>
  <si>
    <t>Ceftriaxona 1g Sol. Inyectable</t>
  </si>
  <si>
    <t>Cloranfenicol 5mg/Ml Solución Oftálmica</t>
  </si>
  <si>
    <t>Dextrometorfano 15 Mg/5ml Jarabe</t>
  </si>
  <si>
    <t>Dicloxacilina 250 Mg/5ml Polvo Para Suspensión Oral</t>
  </si>
  <si>
    <t>Eritromicina 250 Mg/5l Ml Polvo Para Suspensión Oral</t>
  </si>
  <si>
    <t xml:space="preserve">Medroxiprogesterona Y Cipionato De Estradiol 25 Mg/5mg Suspensión Inyectable </t>
  </si>
  <si>
    <t>Metamizol Sódico 1g Solución Inyectable</t>
  </si>
  <si>
    <t>Nafazolina 1mg/Ml Solución Oftálmica</t>
  </si>
  <si>
    <t>Acetato de medroxiprogesterona 150 mg suspensión inyectable</t>
  </si>
  <si>
    <t>Acetonido de flucinolona 0.01% crema</t>
  </si>
  <si>
    <t>Aciclovir 200 mg comprimido</t>
  </si>
  <si>
    <t>Aciclovir 250 mg sol. Inyectable</t>
  </si>
  <si>
    <t>Aciclovir 400 mg tabletas</t>
  </si>
  <si>
    <t>Aciclovir ungüento oftálmico, tubo con 4.5 g</t>
  </si>
  <si>
    <t>Ácido acetilsalicílico 100 mg tabletas</t>
  </si>
  <si>
    <t>Ácido acetilsalicílico 300 mg tabletas</t>
  </si>
  <si>
    <t>Ácido acetilsalicílico 500 mg tabletas</t>
  </si>
  <si>
    <t>Ácido ascórbico (vitamina c) tabletas</t>
  </si>
  <si>
    <t>Ácido fólico 0.4 mg tabletas</t>
  </si>
  <si>
    <t>Ácido fólico 5 mg tabletas</t>
  </si>
  <si>
    <t>Aminofilina sol. Inyectable</t>
  </si>
  <si>
    <t>Albendazol 200 mg tabletas</t>
  </si>
  <si>
    <t>Alibour polvo (sulfato de cobre, zinc y alcanfor)</t>
  </si>
  <si>
    <t>Alopurinol 100 mg tabletas</t>
  </si>
  <si>
    <t>Albúmina humana 25% suspensión inyectable</t>
  </si>
  <si>
    <t>Alopurinol 300 mg tabletas</t>
  </si>
  <si>
    <t>Aluminio y magnesio 3.7 g/4 g/100 ml  suspensión oral</t>
  </si>
  <si>
    <t>Aluminio y magnesio 200 mg/200 mg tabletas</t>
  </si>
  <si>
    <t>Ambroxol 30 mg tabletas</t>
  </si>
  <si>
    <t>Ambroxol solución oral 300 mg/100 ml</t>
  </si>
  <si>
    <t>Amoxicilina 500 mg tabletas</t>
  </si>
  <si>
    <t>Amoxicilina/ácido clavulánico 500 mg/125 mg tabletas</t>
  </si>
  <si>
    <t>Ampicilina 500 mg sol. Inyectable</t>
  </si>
  <si>
    <t>Ampicilina 500 mg tabletas</t>
  </si>
  <si>
    <t>Azitromicina 500 mg tabletas</t>
  </si>
  <si>
    <t>Baño coloide sobre con 90 g</t>
  </si>
  <si>
    <t>Bencilpenicilina g benzatínica 1,200,000 ui susp. Inyectable</t>
  </si>
  <si>
    <t>Bencilpenicilina procaínica con bencilpenicilina cristalina 400,000 susp. Inyectable</t>
  </si>
  <si>
    <t>Bencilpenicilina procaínica con bencilpenicilina cristalina 800,000 ui susp. Inyectable</t>
  </si>
  <si>
    <t>Bencipenicilina g sódica cristalina 1,000,000 ui sol. Inyectable</t>
  </si>
  <si>
    <t>Betametasona 4 mg sol. Inyectable</t>
  </si>
  <si>
    <t>Bencilpenicilina benzatínica compuesta 1,200,000 susp. Inyectable</t>
  </si>
  <si>
    <t>Bencilpenicilina g sódica cristalina 5,000,000 sol. Inyectable</t>
  </si>
  <si>
    <t xml:space="preserve">Benzonatato 100 mg cápsulas </t>
  </si>
  <si>
    <t>Bezafibrato 200 mg tabletas</t>
  </si>
  <si>
    <t>Bicarbonato de sodio 7.5% sol. Inyectable</t>
  </si>
  <si>
    <t>Bromuro de ipratropio-salbutamol  0.286 mg/1.423 mg suspensión en aerosol</t>
  </si>
  <si>
    <t>Bromuro de ipratropio-salbutamol  0.5 mg/2.5 mg suspensión para nebulizar</t>
  </si>
  <si>
    <t>Bromuro de ipratropio 250 mcg/ml aerosol</t>
  </si>
  <si>
    <t>Bromuro de pinaverio 100 mg tabletas</t>
  </si>
  <si>
    <t>Butilhioscina 10 mg tabletas</t>
  </si>
  <si>
    <t>Butilhioscina 20 mg sol. Inyectable</t>
  </si>
  <si>
    <t>Calcio 500 mg comprimido efervescente</t>
  </si>
  <si>
    <t>Captopril 25 mg tabletas</t>
  </si>
  <si>
    <t>Carbetocina sol. Inyectable</t>
  </si>
  <si>
    <t>Cefalexina 500 mg tabletas</t>
  </si>
  <si>
    <t>Ciprofloxacino sol. Oftálmica</t>
  </si>
  <si>
    <t>Ciprofloxacino 250 mg tabletas</t>
  </si>
  <si>
    <t>Claritromicina 250 mg tabletas</t>
  </si>
  <si>
    <t>Clindamicina 300 mg tabletas</t>
  </si>
  <si>
    <t xml:space="preserve">Clioquinol 3% crema </t>
  </si>
  <si>
    <t>Clonixinato de lisina 100 mg sol. Inyectable</t>
  </si>
  <si>
    <t>Cloranfenicol ungüento oftálmico</t>
  </si>
  <si>
    <t>Clorfenamina 0.5 mg/ml jarabe</t>
  </si>
  <si>
    <t>Clorfenamina 4 mg tabletas</t>
  </si>
  <si>
    <t>Clorfenamina compuesta tabletas</t>
  </si>
  <si>
    <t>Clortalidona 50 mg tabletas</t>
  </si>
  <si>
    <t>Complejo b tabletas</t>
  </si>
  <si>
    <t>Cromoglicato de sodio sol. Oftálmica</t>
  </si>
  <si>
    <t>Desogestrel 0.15 mg/etinilestradiol 0.03 tabletas</t>
  </si>
  <si>
    <t>Diclofenaco 100 mg tabletas</t>
  </si>
  <si>
    <t>Diclofenaco 75 mg sol. Inyectable</t>
  </si>
  <si>
    <t>Dicloxacilina 500 mg tabletas</t>
  </si>
  <si>
    <t>Difenhidramina 100 mg/10 ml sol. Inyectable</t>
  </si>
  <si>
    <t>Difenhidramina 250 mg/100 ml jarabe</t>
  </si>
  <si>
    <t>Difenidol 25 mg tabletas</t>
  </si>
  <si>
    <t>Difenidol 40 mg/2 ml ámpula inyectable</t>
  </si>
  <si>
    <t>Digoxina 0.25 mg tabletas</t>
  </si>
  <si>
    <t>Doxiciclina 100 mg tabletas</t>
  </si>
  <si>
    <t>Electrolitos orales polvo</t>
  </si>
  <si>
    <t>Enalapril 10 mg tabletas</t>
  </si>
  <si>
    <t>Eritromicina 500 mg tabletas</t>
  </si>
  <si>
    <t>Espironolactona 25 mg tabletas</t>
  </si>
  <si>
    <t>Estrogenos conjugados 0.625 mg tabletas</t>
  </si>
  <si>
    <t>Fenazopiridina 100 mg tabletas</t>
  </si>
  <si>
    <t>Fenitoína 100 mg tabletas</t>
  </si>
  <si>
    <t>Fluconazol 1 gramo sol. Inyectable</t>
  </si>
  <si>
    <t>Fitomenadiona 10 mg/1 ml solución inyectable</t>
  </si>
  <si>
    <t>Fitomenadiona 2 mg/0.2 ml solución inyectable</t>
  </si>
  <si>
    <t>Fosfato de potasio sol. Inyectable</t>
  </si>
  <si>
    <t xml:space="preserve">Fumarato ferroso 200 mg tabletas </t>
  </si>
  <si>
    <t>Fumarato ferroso 29 mg/120 ml suspensión oral</t>
  </si>
  <si>
    <t>Furosemida 40 mg tabletas</t>
  </si>
  <si>
    <t>Gabapentina 300 mg tabletas</t>
  </si>
  <si>
    <t>Glibenclamida 5 mg tabletas</t>
  </si>
  <si>
    <t>Hidralazina 10 mg tabletas</t>
  </si>
  <si>
    <t>Hidroclorotiazida tabletas</t>
  </si>
  <si>
    <t>Hierro dextrán 100 mg sol. Inyectable</t>
  </si>
  <si>
    <t>Hidrocortisona 0.1% crema</t>
  </si>
  <si>
    <t>Hidrocortisona 100 mg sol. Inyectable</t>
  </si>
  <si>
    <t>Hipromelosa 0.5% solución oftálmica</t>
  </si>
  <si>
    <t>Ibuprofeno 600 mg tabletas</t>
  </si>
  <si>
    <t>Ibuprofeno 800 mg tabletas</t>
  </si>
  <si>
    <t>Ibuprofeno 400 mg tabletas</t>
  </si>
  <si>
    <t>Indometacina 100 mg supositorio</t>
  </si>
  <si>
    <t xml:space="preserve">Insulina humana acción intermedia lenta glargina 100 ui/ml solución inyectable frasco con 10 ml </t>
  </si>
  <si>
    <t xml:space="preserve">Insulina humana acción intermedia nph 100 ui/ml solución inyectable frasco con 5 ml </t>
  </si>
  <si>
    <t xml:space="preserve">Insulina humana acción rápida regular 100 ui/ml solución inyectable frasco con 5 ml </t>
  </si>
  <si>
    <t xml:space="preserve">Isosorbida 10 mg tabletas sublinguales </t>
  </si>
  <si>
    <t xml:space="preserve">Isosorbida 5 mg tabletas sublinguales </t>
  </si>
  <si>
    <t>Ketoconazol 200 mg tabletas</t>
  </si>
  <si>
    <t>Ketotifeno 20 mg/100 ml jarabe</t>
  </si>
  <si>
    <t>Levonorgestrel 0.750 mg comprimidos</t>
  </si>
  <si>
    <t>Levonorgestrel y etinilestradiol 0.15 mg/0.03 mg grageas</t>
  </si>
  <si>
    <t>Levotiroxina 100 mg tabletas</t>
  </si>
  <si>
    <t>Lidocaína 1% solución inyectable</t>
  </si>
  <si>
    <t>Lidocaína 2% solución inyectable</t>
  </si>
  <si>
    <t xml:space="preserve">Lidocaína/hidrocortisona 50 mg/2.5 mg ungüento </t>
  </si>
  <si>
    <t>Loratadina 1 mg/1 ml jarabe</t>
  </si>
  <si>
    <t>Loratadina 10 mg tableta</t>
  </si>
  <si>
    <t>Losartán 50 mg tabletas</t>
  </si>
  <si>
    <t>Metamizol sódico 500 mg tabletas</t>
  </si>
  <si>
    <t>Metformina 850 mg tabletas</t>
  </si>
  <si>
    <t>Metildopa 250 mg tabletas</t>
  </si>
  <si>
    <t>Metoclopramida 10 mg tabletas</t>
  </si>
  <si>
    <t>Metoclopramida 400 mg/100 ml gotas</t>
  </si>
  <si>
    <t xml:space="preserve">Metoprolol 100 mg tabletas </t>
  </si>
  <si>
    <t>Metronidazol 500 mg tabletas</t>
  </si>
  <si>
    <t>Metronidazol 500 mg tabletas vaginales</t>
  </si>
  <si>
    <t>Miconazol 2% crema</t>
  </si>
  <si>
    <t>Mupirocina 2 g ungüento</t>
  </si>
  <si>
    <t>Multivitaminas sol. Inyectable</t>
  </si>
  <si>
    <t>Naproxeno 250 mg tabletas</t>
  </si>
  <si>
    <t>Neomicina, polimixina b, fluocinolona y lidocaína solución ótica</t>
  </si>
  <si>
    <t>Neomicina, polimixina y gramicidina solución oftálmica</t>
  </si>
  <si>
    <t>Neomicina, polimixina y gramicidina ungüento oftálmico</t>
  </si>
  <si>
    <t>Nifedipino 10 mg tabletas</t>
  </si>
  <si>
    <t>Nistatina 100 000 ui tabletas vaginales</t>
  </si>
  <si>
    <t>Nistatina 2 400 000 ui suspensión oral</t>
  </si>
  <si>
    <t>Nitrofuratoína 100 mg tabletas</t>
  </si>
  <si>
    <t>Nitrofuratoína suspensión oral</t>
  </si>
  <si>
    <t>Nitrofurazona 6 mg óvulos vaginales</t>
  </si>
  <si>
    <t>Norelgestromina-etinilestradiol 6 mg/0.60 mg parches</t>
  </si>
  <si>
    <t>Noretisterona y estradiol 50 mg/ 5 mg sol. Inyectable</t>
  </si>
  <si>
    <t>Óxido de zinc pasta</t>
  </si>
  <si>
    <t>Oxitocina solución inyectable</t>
  </si>
  <si>
    <t>Paracetamol 100 mg/ml solución oral</t>
  </si>
  <si>
    <t>Paracetamol 300 mg supositorios</t>
  </si>
  <si>
    <t>Paracetamol 500 mg tabletas</t>
  </si>
  <si>
    <t>Permetrina 1 g solución</t>
  </si>
  <si>
    <t>Pioglitazona 15 mg tabletas</t>
  </si>
  <si>
    <t>Piroxicam 20 mg tabletas</t>
  </si>
  <si>
    <t>Plántago psyllium 400 g</t>
  </si>
  <si>
    <t>Polivitaminas y minerales jarabe</t>
  </si>
  <si>
    <t>Polivitaminas y minerales tabletas</t>
  </si>
  <si>
    <t>Pravastatina 10 mg tabletas</t>
  </si>
  <si>
    <t>Prednisolona 5 mg/ml solución oftálmica</t>
  </si>
  <si>
    <t>Prednisona 5 mg tabletas</t>
  </si>
  <si>
    <t>Propranolol 10 mg tabletas</t>
  </si>
  <si>
    <t>Propranolol 40 mg tabletas</t>
  </si>
  <si>
    <t>Salbutamol 2 mg/5 ml jarabe</t>
  </si>
  <si>
    <t>Salbutamol 20 mg suspensión en aerosol</t>
  </si>
  <si>
    <t xml:space="preserve">Senósidos ab 187 mg tabletas </t>
  </si>
  <si>
    <t>Sildenafil 50 mg tabletas</t>
  </si>
  <si>
    <t>Sulfato de zinc y fenilefrina 2.5 mg/1.2 mg solución oftálmica</t>
  </si>
  <si>
    <t>Sulfato ferroso 125 mg/ml solución oral</t>
  </si>
  <si>
    <t>Sulfato ferroso 60.27 mg tabletas</t>
  </si>
  <si>
    <t>Telmisartán 40 mg tabletas</t>
  </si>
  <si>
    <t>Tetraciclina 250 mg tabletas</t>
  </si>
  <si>
    <t>Tobramicina 3 mg solución oftálmica</t>
  </si>
  <si>
    <t>Trimetoprima-sulfametoxazol 40 mg/200 mg tabletas</t>
  </si>
  <si>
    <t>Trimetoprima-sulfametoxazol 80 mg/400 mg tabletas</t>
  </si>
  <si>
    <t>Valproato de magnesio 200 mg tabletas</t>
  </si>
  <si>
    <t>Verapamil 80 mg tabletas</t>
  </si>
  <si>
    <t>Vitamina a solución oral</t>
  </si>
  <si>
    <t>Vitaminas acd solución oral</t>
  </si>
  <si>
    <t>Dispositivo intrauterino mirena (lenorgestrel polvo)</t>
  </si>
  <si>
    <t>Irbesartan 150 mg / hidroclorotiazida 12.5 mg tabletas</t>
  </si>
  <si>
    <t xml:space="preserve">Levodropropizina 60 mg tabletas </t>
  </si>
  <si>
    <t>Levodropropizina 60 mg/10 ml jarabe</t>
  </si>
  <si>
    <t xml:space="preserve">Dapagliflozina 10 mg tabletas </t>
  </si>
  <si>
    <t>Empagliflozina 10 mg tabletas</t>
  </si>
  <si>
    <t>Empagliflozina 25 mg tabletas</t>
  </si>
  <si>
    <t>LAUR (Ampicilina / Metamizol / Guaifenesina / Clorfenamina) Sol. Inyectable</t>
  </si>
  <si>
    <t>Acetilcisteína 600 mg tabletas efervescentes</t>
  </si>
  <si>
    <t>Oxital C tabletas efervescentes</t>
  </si>
  <si>
    <t xml:space="preserve">Ketorolaco 30 mg tabletas </t>
  </si>
  <si>
    <t xml:space="preserve">Osetalmivir 75 mg tabletas </t>
  </si>
  <si>
    <t>Paracetamol 3.2 g/100 ml solución oral</t>
  </si>
  <si>
    <t>MEDICAMENTO</t>
  </si>
  <si>
    <t xml:space="preserve">DOSIS </t>
  </si>
  <si>
    <t xml:space="preserve">PESO </t>
  </si>
  <si>
    <t>Paracetamol 3.2 g/100 ml</t>
  </si>
  <si>
    <t xml:space="preserve">15 mg/kg/dosis </t>
  </si>
  <si>
    <t>Paracetamol 100 mg/100 ml</t>
  </si>
  <si>
    <t>Biogaia Protectis Probióticos Gotas Orales 5 ml</t>
  </si>
  <si>
    <t xml:space="preserve">Metoclopramida 4mg/ml </t>
  </si>
  <si>
    <t>Ibuprofeno 2 g/100 ml</t>
  </si>
  <si>
    <t>10 mg/kg/dosis</t>
  </si>
  <si>
    <t>Ibuprofeno 40 mg/1 ml</t>
  </si>
  <si>
    <t xml:space="preserve">GOTAS </t>
  </si>
  <si>
    <t>Levocetirizina 0.5mg/ml Solución oral</t>
  </si>
  <si>
    <t>0.2 mg/kg/dosis</t>
  </si>
  <si>
    <t xml:space="preserve">ML </t>
  </si>
  <si>
    <t>Dexametasona 8 mg/2 ml solución inyectable</t>
  </si>
  <si>
    <t>Amoxicilina/ácido clavulánico 850 mg/125 mg tabletas</t>
  </si>
  <si>
    <t xml:space="preserve">Talla: </t>
  </si>
  <si>
    <t xml:space="preserve">Peso: </t>
  </si>
  <si>
    <t>Ciprofloxacino 500 mg tabletas</t>
  </si>
  <si>
    <t xml:space="preserve">Trimebutina 200 mg tabletas </t>
  </si>
  <si>
    <t xml:space="preserve">Libertrim SII (Trimebutina 100 mg / Simeticona 37.5 mg) tabletas </t>
  </si>
  <si>
    <t>Ibuprofeno 40 mg/ml solución oral</t>
  </si>
  <si>
    <t>Levofloxacino 750 mg tabletas</t>
  </si>
  <si>
    <t xml:space="preserve">Pregabalina 75 mg tabletas </t>
  </si>
  <si>
    <t xml:space="preserve">Pregabalina 150 mg tabletas </t>
  </si>
  <si>
    <t>Prednisolona 1 mg/ml solución oral</t>
  </si>
  <si>
    <t xml:space="preserve">Levocetirizina 5 mg tabletas </t>
  </si>
  <si>
    <t>Ondansetrón 4 mg / 2 ml solución inyectable</t>
  </si>
  <si>
    <t xml:space="preserve">Tomar 1 tableta vía oral cada 8 hrs por 5 días </t>
  </si>
  <si>
    <t xml:space="preserve">Tomar 1 tableta vía oral cada 12 hrs por 5 días </t>
  </si>
  <si>
    <t xml:space="preserve">Colocar una tableta vía sublingual cada 6 hrs por 3 días </t>
  </si>
  <si>
    <t xml:space="preserve">Aplicar 1 ámpula vía intramuscular cada 24 hrs por 3 días </t>
  </si>
  <si>
    <t>Aplicar 1 ámpula vía intramuscular DOSIS ÚNICA</t>
  </si>
  <si>
    <r>
      <t xml:space="preserve">Tomar 1 tableta vía oral cada 24 hrs </t>
    </r>
    <r>
      <rPr>
        <b/>
        <sz val="11"/>
        <color theme="1"/>
        <rFont val="Aptos Narrow"/>
        <family val="2"/>
        <scheme val="minor"/>
      </rPr>
      <t>SIN SUSPENDER</t>
    </r>
  </si>
  <si>
    <t xml:space="preserve">Tomar 1 tableta vía oral cada 24 hrs por 3 meses </t>
  </si>
  <si>
    <r>
      <t xml:space="preserve">Tomar 1 tableta vía oral cada 24 hrs por 15 días </t>
    </r>
    <r>
      <rPr>
        <b/>
        <sz val="11"/>
        <color theme="1"/>
        <rFont val="Aptos Narrow"/>
        <family val="2"/>
        <scheme val="minor"/>
      </rPr>
      <t>POR LAS NOCHES</t>
    </r>
  </si>
  <si>
    <t xml:space="preserve">Dar 5 ml vía oral cada 8 hrs por 5 días </t>
  </si>
  <si>
    <t xml:space="preserve">Aplicar una capa fina en región afectada por las noches </t>
  </si>
  <si>
    <t xml:space="preserve">Aplicar una capa fina en región afectada cada 12 hrs por 15 días </t>
  </si>
  <si>
    <t>Tomar 1 tableta vía oral cada 8 hrs hasta terminar tratamiento</t>
  </si>
  <si>
    <t>Tomar 1 tableta vía oral cada 8 hrs por 5 días con alimentos</t>
  </si>
  <si>
    <t>Dar ___ ml vía oral cada 6 hrs solo en caso de fiebre o dolor</t>
  </si>
  <si>
    <t>Aplicar 35 unidades vía subcutánea cada 24 hrs SIN SUSPENDER</t>
  </si>
  <si>
    <r>
      <t xml:space="preserve">• Mantener adecuada hidratación
• Evitar cambios bruscos de temperatura
• Evitar exposición a humo, polvo o irritantes
• Uso de cubrebocas si hay tos intensa
• Lavado frecuente de manos
• Alimentación balanceada, rica en frutas y verduras
• No automedicarse antibióticos
</t>
    </r>
    <r>
      <rPr>
        <b/>
        <sz val="11"/>
        <color theme="1"/>
        <rFont val="Aptos Narrow"/>
        <family val="2"/>
        <scheme val="minor"/>
      </rPr>
      <t>• Vigilar datos de alarma:</t>
    </r>
    <r>
      <rPr>
        <sz val="11"/>
        <color theme="1"/>
        <rFont val="Aptos Narrow"/>
        <family val="2"/>
        <scheme val="minor"/>
      </rPr>
      <t xml:space="preserve"> fiebre persistente, dificultad respiratoria, cianosis, rechazo a la vía oral
• Acudir a revaloración en caso de no mejoría en 48–72 hrs</t>
    </r>
  </si>
  <si>
    <r>
      <t xml:space="preserve">•	Mantener hidratación con Vida Suero Oral (VSO) después de cada evacuación o vómito
•	Ofrecer líquidos en pequeñas cantidades y de forma frecuente
•	Continuar lactancia materna
•	Evitar irritantes, jugos, refrescos y bebidas azucaradas
•	Ofrecer dieta astringente: arroz, plátano, manzana, zanahoria
•	Cambiar pañal frecuentemente y mantener adecuada higiene
•	No administrar antibióticos ni antidiarreicos sin indicación médica
•	Vigilar signos de deshidratación: Ojos hundidos, boca seca, llanto sin lágrimas, irritabilidad o somnolencia, disminución de orina
</t>
    </r>
    <r>
      <rPr>
        <b/>
        <sz val="11"/>
        <color theme="1"/>
        <rFont val="Aptos Narrow"/>
        <family val="2"/>
        <scheme val="minor"/>
      </rPr>
      <t xml:space="preserve">•	Vigilar datos de alarma: </t>
    </r>
    <r>
      <rPr>
        <sz val="11"/>
        <color theme="1"/>
        <rFont val="Aptos Narrow"/>
        <family val="2"/>
        <scheme val="minor"/>
      </rPr>
      <t xml:space="preserve">Fiebre persistente, vómito incoercible, sangre en evacuaciones, rechazo a la vía oral
•	Acudir a revaloración en 24–48 hrs o antes </t>
    </r>
  </si>
  <si>
    <t xml:space="preserve">•	Mantener hidratación con Vida Suero Oral o líquidos claros abundantes 
•	Tomar líquidos en pequeñas cantidades de forma frecuente 
•	Continuar alimentación según tolerancia (evitar ayuno prolongado) 
•	Evitar alimentos irritantes: grasas, picante, alcohol, café 
•	Evitar lácteos si aumentan los síntomas 
•	Consumir dieta astringente: arroz, plátano, manzana, pan tostado 
•	Reposo relativo 
•	Vigilar signos de deshidratación: sed intensa, mareo, debilidad, disminución de la orina 
•	Vigilar datos de alarma: Fiebre alta persistente, sangre o moco en heces, dolor abdominal intenso, vómito persistente 
•	Acudir a valoración si no mejora en 48–72 hrs </t>
  </si>
  <si>
    <t>Butilhioscina 10 mg / Metamizol 250 mg tabletas</t>
  </si>
  <si>
    <t xml:space="preserve"> </t>
  </si>
  <si>
    <t xml:space="preserve">Amoxicilina </t>
  </si>
  <si>
    <t>Amoxicilina/ácido clavulánico 400mg/57.14mg/5ml Suspensión</t>
  </si>
  <si>
    <t>Amoxicilina/ácido clavulánico 600mg/42.9/5ml Suspensión</t>
  </si>
  <si>
    <t>Amoxicilina/ácido clavulánico 250mg/62.5mg/5ml Suspensión</t>
  </si>
  <si>
    <t>Amoxicilina/ácido clavulánico 200mg/28.57mg/5ml Suspensión</t>
  </si>
  <si>
    <t>Amoxicilina/ácido clavulánico 125 mg/31.25 mg/5 ml Suspensión</t>
  </si>
  <si>
    <t xml:space="preserve">Trimebutina 200 mg / Simeticona 75 mg tabletas </t>
  </si>
  <si>
    <t>Cédula Profesional 15632243</t>
  </si>
  <si>
    <t>Racecadotrilo 100 mg cápsulas</t>
  </si>
  <si>
    <t>Medidas generales:</t>
  </si>
  <si>
    <t>Azitromicina 200 mg/5 ml Suspensión</t>
  </si>
  <si>
    <t>Racecadotrilo 30 mg sobres granulados</t>
  </si>
  <si>
    <t>Pinaverio 100 mg / Dimeticona 300 mg tabletas</t>
  </si>
  <si>
    <t>Proxalin Plus (Naproxeno/ Paracetamol) 300/250 mg tabletas</t>
  </si>
  <si>
    <t>Racecadotrilo 10 mg sobres granulados</t>
  </si>
  <si>
    <t>Metronidazol 250 mg/5ml Suspensión</t>
  </si>
  <si>
    <t>Lactulosa 10 g/15 ml jarabe</t>
  </si>
  <si>
    <t>Cefuroxima 250 mg/5 ml Solución oral</t>
  </si>
  <si>
    <t>Cefixima 100 mg/5ml Solución oral</t>
  </si>
  <si>
    <t>Dualgos (Paracetamol/Ibuprofeno) 325mg/200mg tabletas</t>
  </si>
  <si>
    <t>Proxalin Plus (Naproxeno/Paracetamol) suspensión 125 mg/100 mg/5 mL</t>
  </si>
  <si>
    <t>Febrax (Naproxeno/Paracetamol) 25mg/20mg/ml Suspensión</t>
  </si>
  <si>
    <t>Febrax (Naproxeno/Paracetamol) 125mg/100mg/5ml Suspensión</t>
  </si>
  <si>
    <t>Ibuprofeno 2g/100 ml solución oral</t>
  </si>
  <si>
    <t xml:space="preserve">Precicol </t>
  </si>
  <si>
    <t>Piroxicam 0.5% Gel</t>
  </si>
  <si>
    <t>Hidrocortisona / Lidocaína 5/60mg Supositorios</t>
  </si>
  <si>
    <t>Budesonida Suspensión Nasal  64 mcg/dosis</t>
  </si>
  <si>
    <t>Mometasona Suspensión Nasal 50 mcg/dosis</t>
  </si>
  <si>
    <t>Negadas</t>
  </si>
  <si>
    <t>Supratex (Levodropropizina) 600 mg/100 ml Jarabe</t>
  </si>
  <si>
    <t>ML PRIM (Metocarbamol/ibuprofeno) 375/200 mg Cápsulas</t>
  </si>
  <si>
    <t>Dirprasid (Metoclopramida) 10 mg tabletas</t>
  </si>
  <si>
    <t>Vylkor (Ondansetron) 8 mg tabletas</t>
  </si>
  <si>
    <t xml:space="preserve">Dolprin (Ibuprofeno) 2g/100 ml Suspensión </t>
  </si>
  <si>
    <t>Lactulosa 66.7 mg/100 ml Suspensión</t>
  </si>
  <si>
    <t>Velsay S (Paracetamol/Naproxeno)  Suspensión 125 mg,100 mg/5 ml</t>
  </si>
  <si>
    <t xml:space="preserve">Retirix (Cetirizina) Jarabe 100 mg/100 ml </t>
  </si>
  <si>
    <t>Adinol (Paracetamol) Jarabe 3.2 g/100 ml</t>
  </si>
  <si>
    <t>Nisolver (Prednisolona) solución</t>
  </si>
  <si>
    <t xml:space="preserve">Tomar 1 cápsula vía oral cada 8 hrs por 5 días </t>
  </si>
  <si>
    <t>Proxalin Plus (Paracetamol/Naproxeno)  Suspensión 125 mg,100 mg/5 ml</t>
  </si>
  <si>
    <t>Biobend (Bencidamina) Solución bucal</t>
  </si>
  <si>
    <t xml:space="preserve">Tomar 1 cápsula vía oral cada 6 hrs por 5 días </t>
  </si>
  <si>
    <t xml:space="preserve">Tomar 1 cápsula vía oral cada 12 hrs por 5 días </t>
  </si>
  <si>
    <t>Guvatox Jarabe</t>
  </si>
  <si>
    <t>Divelgel (Bromuro de pinaverio/Dimeticona) 100 mg/300 mg cápsulas</t>
  </si>
  <si>
    <t xml:space="preserve">Biostafex (Fexofanadina) 120 mg tabletas </t>
  </si>
  <si>
    <t xml:space="preserve">Bennet (Desloratadina) 5 mg tabletas </t>
  </si>
  <si>
    <t xml:space="preserve">Algidol (Ibuprofeno) 600 mg tabletas </t>
  </si>
  <si>
    <t>Ciprofloxacino/Dexametasona gotas oftálmicas</t>
  </si>
  <si>
    <t xml:space="preserve">Aplicar 1 gota en cada ojo cada 6 hrs por 7 días </t>
  </si>
  <si>
    <t>Ozempic 1.34mg/ml Solución Inyectable Pluma Precargada</t>
  </si>
  <si>
    <t xml:space="preserve">Algidol (Ibuprofeno) 800 mg tabletas </t>
  </si>
  <si>
    <t xml:space="preserve">Algidol (Ibuprofeno) 400 mg tabletas </t>
  </si>
  <si>
    <t xml:space="preserve">Biomesina compuesta (Butilhioscina/Metamizol sódico) 10 mg/250 mg tabletas </t>
  </si>
  <si>
    <t xml:space="preserve">Aplicar 1 supositorio vía rectal cada 12 hrs por 3 días </t>
  </si>
  <si>
    <t>bal bla</t>
  </si>
  <si>
    <t>Posologia</t>
  </si>
  <si>
    <t>4 años</t>
  </si>
  <si>
    <t>36.1°C</t>
  </si>
  <si>
    <t>Zairi Carrera Macedo</t>
  </si>
  <si>
    <t>Espabion suspensión</t>
  </si>
  <si>
    <t>15 kg</t>
  </si>
  <si>
    <t xml:space="preserve">Dar 8 ml vía oral cada 8 hrs por 5 días </t>
  </si>
  <si>
    <t>95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</si>
</sst>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Neue Haas Grotesk Text Pro"/>
      <family val="2"/>
    </font>
    <font>
      <sz val="20"/>
      <color theme="3" tint="0.249977111117893"/>
      <name val="Alte Haas Grotesk"/>
    </font>
    <font>
      <sz val="10"/>
      <color theme="1" tint="0.249977111117893"/>
      <name val="Neue Haas Grotesk Text Pro"/>
      <family val="2"/>
    </font>
    <font>
      <b/>
      <sz val="10"/>
      <color theme="1" tint="0.249977111117893"/>
      <name val="Neue Haas Grotesk Text Pro"/>
      <family val="2"/>
    </font>
    <font>
      <sz val="10"/>
      <color theme="1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 tint="0.249977111117893"/>
      <name val="Neue Haas Grotesk Text Pro"/>
      <family val="2"/>
    </font>
    <font>
      <sz val="9"/>
      <color theme="1" tint="0.249977111117893"/>
      <name val="Neue Haas Grotesk Text Pro"/>
      <family val="2"/>
    </font>
    <font>
      <sz val="32"/>
      <color rgb="FF006699"/>
      <name val="Frosted Breath"/>
    </font>
    <font>
      <b/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A80044"/>
      <name val="Aptos Narrow"/>
      <family val="2"/>
      <scheme val="minor"/>
    </font>
    <font>
      <b/>
      <sz val="9.5"/>
      <color theme="1" tint="0.249977111117893"/>
      <name val="Neue Haas Grotesk Text Pro"/>
      <family val="2"/>
    </font>
    <font>
      <b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1" tint="0.249977111117893"/>
      <name val="Neue Haas Grotesk Text Pro"/>
      <family val="2"/>
    </font>
    <font>
      <sz val="9"/>
      <color theme="1"/>
      <name val="Aptos Narrow"/>
      <scheme val="minor"/>
    </font>
    <font>
      <sz val="10"/>
      <color theme="1" tint="0.249977111117893"/>
      <name val="NewsGoth BT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14" fontId="4" fillId="0" borderId="0" xfId="0" applyNumberFormat="1" applyFont="1" applyAlignment="1">
      <alignment vertical="center"/>
    </xf>
    <xf numFmtId="0" fontId="6" fillId="0" borderId="0" xfId="0" applyFont="1"/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3" fillId="0" borderId="0" xfId="0" applyFont="1" applyAlignment="1">
      <alignment horizontal="left"/>
    </xf>
    <xf numFmtId="0" fontId="10" fillId="2" borderId="0" xfId="0" applyFont="1" applyFill="1" applyAlignment="1">
      <alignment vertical="top" wrapText="1"/>
    </xf>
    <xf numFmtId="0" fontId="5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14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5" fillId="2" borderId="0" xfId="0" applyFont="1" applyFill="1" applyAlignment="1">
      <alignment horizontal="center" vertical="center"/>
    </xf>
    <xf numFmtId="9" fontId="5" fillId="2" borderId="0" xfId="0" applyNumberFormat="1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 indent="2"/>
    </xf>
    <xf numFmtId="0" fontId="9" fillId="0" borderId="0" xfId="0" applyFont="1" applyAlignment="1">
      <alignment horizontal="left" vertical="top" wrapText="1"/>
    </xf>
    <xf numFmtId="49" fontId="9" fillId="2" borderId="0" xfId="0" applyNumberFormat="1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21" fillId="0" borderId="0" xfId="0" applyFont="1" applyAlignment="1">
      <alignment horizontal="center" vertical="center"/>
    </xf>
    <xf numFmtId="0" fontId="21" fillId="0" borderId="0" xfId="0" applyFont="1"/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/>
    </xf>
    <xf numFmtId="14" fontId="5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9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FF99FF"/>
        </patternFill>
      </fill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99CC"/>
      <color rgb="FFFF99FF"/>
      <color rgb="FFA80044"/>
      <color rgb="FFFF0066"/>
      <color rgb="FF006699"/>
      <color rgb="FF58812F"/>
      <color rgb="FF936231"/>
      <color rgb="FF3366FF"/>
      <color rgb="FFEBF3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43807</xdr:rowOff>
    </xdr:from>
    <xdr:to>
      <xdr:col>0</xdr:col>
      <xdr:colOff>725973</xdr:colOff>
      <xdr:row>2</xdr:row>
      <xdr:rowOff>114300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FBC8728-7293-4935-66F9-B866BFA2A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" y="43807"/>
          <a:ext cx="721211" cy="718193"/>
        </a:xfrm>
        <a:prstGeom prst="rect">
          <a:avLst/>
        </a:prstGeom>
      </xdr:spPr>
    </xdr:pic>
    <xdr:clientData/>
  </xdr:twoCellAnchor>
  <xdr:twoCellAnchor editAs="oneCell">
    <xdr:from>
      <xdr:col>9</xdr:col>
      <xdr:colOff>87311</xdr:colOff>
      <xdr:row>1</xdr:row>
      <xdr:rowOff>49406</xdr:rowOff>
    </xdr:from>
    <xdr:to>
      <xdr:col>11</xdr:col>
      <xdr:colOff>277813</xdr:colOff>
      <xdr:row>3</xdr:row>
      <xdr:rowOff>91178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69E0326-98E9-AF33-5329-BBF7D90B98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50441"/>
        <a:stretch>
          <a:fillRect/>
        </a:stretch>
      </xdr:blipFill>
      <xdr:spPr>
        <a:xfrm>
          <a:off x="5286374" y="509781"/>
          <a:ext cx="1246189" cy="422772"/>
        </a:xfrm>
        <a:prstGeom prst="rect">
          <a:avLst/>
        </a:prstGeom>
      </xdr:spPr>
    </xdr:pic>
    <xdr:clientData/>
  </xdr:twoCellAnchor>
  <xdr:twoCellAnchor editAs="oneCell">
    <xdr:from>
      <xdr:col>1</xdr:col>
      <xdr:colOff>15876</xdr:colOff>
      <xdr:row>26</xdr:row>
      <xdr:rowOff>23813</xdr:rowOff>
    </xdr:from>
    <xdr:to>
      <xdr:col>1</xdr:col>
      <xdr:colOff>214312</xdr:colOff>
      <xdr:row>27</xdr:row>
      <xdr:rowOff>95249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3BB7A28-6E82-95D4-D629-023D0373E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7876" y="4341813"/>
          <a:ext cx="198436" cy="198436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190501</xdr:colOff>
      <xdr:row>26</xdr:row>
      <xdr:rowOff>15876</xdr:rowOff>
    </xdr:from>
    <xdr:to>
      <xdr:col>4</xdr:col>
      <xdr:colOff>400050</xdr:colOff>
      <xdr:row>27</xdr:row>
      <xdr:rowOff>98425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BB2892-8CEF-8F09-5241-3D513A7A9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00376" y="4333876"/>
          <a:ext cx="209549" cy="20954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BBA953-ACDF-4BC8-99BF-8E68F754192E}" name="Tabla2" displayName="Tabla2" ref="A1:E8" totalsRowShown="0" headerRowDxfId="5">
  <autoFilter ref="A1:E8" xr:uid="{17BBA953-ACDF-4BC8-99BF-8E68F754192E}"/>
  <tableColumns count="5">
    <tableColumn id="1" xr3:uid="{B7752B95-FBFC-4DF3-80BD-15B28148BD16}" name="MEDICAMENTO"/>
    <tableColumn id="2" xr3:uid="{756514B6-AE4E-42BC-9628-D724C8A5C0FC}" name="DOSIS "/>
    <tableColumn id="3" xr3:uid="{8C3F3EDC-78E3-4A81-9B66-3C0266A6AE17}" name="PESO "/>
    <tableColumn id="4" xr3:uid="{D58D8D26-6EDA-409C-96BC-F43CA12FAF05}" name="ML " dataDxfId="4">
      <calculatedColumnFormula>(C2*15)/100</calculatedColumnFormula>
    </tableColumn>
    <tableColumn id="5" xr3:uid="{39FED54D-7AEF-4D52-847D-A72D3269D482}" name="GOTAS " dataDxfId="3">
      <calculatedColumnFormula>D2*20</calculatedColumnFormula>
    </tableColumn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2C23DB-0AC2-4F46-96AF-58D87E3B3A4B}" name="Medicamentos5" displayName="Medicamentos5" ref="A1:B260" totalsRowShown="0" headerRowDxfId="2">
  <autoFilter ref="A1:B260" xr:uid="{00000000-0009-0000-0100-000004000000}"/>
  <sortState xmlns:xlrd2="http://schemas.microsoft.com/office/spreadsheetml/2017/richdata2" ref="A2:B205">
    <sortCondition ref="A3:A205"/>
  </sortState>
  <tableColumns count="2">
    <tableColumn id="1" xr3:uid="{36DC2401-7D87-4AFF-985F-717F4D205C8C}" name="Medicamento" dataDxfId="1"/>
    <tableColumn id="2" xr3:uid="{920C3E71-942D-4A03-AC40-5502230032D2}" name="Clave 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33B743-5189-437C-B634-998F2E96B2E8}" name="Tabla3" displayName="Tabla3" ref="A1:A22" totalsRowShown="0">
  <autoFilter ref="A1:A22" xr:uid="{E833B743-5189-437C-B634-998F2E96B2E8}"/>
  <tableColumns count="1">
    <tableColumn id="1" xr3:uid="{A3C7AD8C-66C1-431E-8DF2-2FBD618C9076}" name="Posologi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Escala de grises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F048-3954-461A-88ED-1FFFB0F8DC6C}">
  <dimension ref="A1:P28"/>
  <sheetViews>
    <sheetView tabSelected="1" topLeftCell="A4" zoomScaleNormal="100" workbookViewId="0">
      <selection activeCell="I10" sqref="I10:L23"/>
    </sheetView>
  </sheetViews>
  <sheetFormatPr baseColWidth="10" defaultRowHeight="15" x14ac:dyDescent="0.25"/>
  <cols>
    <col min="2" max="2" width="10.140625" customWidth="1"/>
    <col min="3" max="3" width="5.85546875" customWidth="1"/>
    <col min="4" max="4" width="14.7109375" customWidth="1"/>
    <col min="5" max="5" width="7.28515625" customWidth="1"/>
    <col min="6" max="6" width="7.42578125" customWidth="1"/>
    <col min="7" max="7" width="8.42578125" customWidth="1"/>
    <col min="8" max="8" width="7" customWidth="1"/>
    <col min="9" max="9" width="5.7109375" customWidth="1"/>
    <col min="10" max="10" width="7" customWidth="1"/>
    <col min="11" max="11" width="8.85546875" customWidth="1"/>
    <col min="12" max="12" width="5.7109375" customWidth="1"/>
  </cols>
  <sheetData>
    <row r="1" spans="1:16" ht="36" customHeight="1" x14ac:dyDescent="0.35">
      <c r="B1" s="45" t="s">
        <v>0</v>
      </c>
      <c r="C1" s="45"/>
      <c r="D1" s="45"/>
      <c r="E1" s="45"/>
      <c r="F1" s="45"/>
      <c r="G1" s="45"/>
      <c r="H1" s="45"/>
      <c r="I1" s="45"/>
      <c r="J1" s="45"/>
      <c r="K1" s="10"/>
    </row>
    <row r="2" spans="1:16" x14ac:dyDescent="0.25">
      <c r="A2" s="1"/>
      <c r="B2" s="47" t="s">
        <v>8</v>
      </c>
      <c r="C2" s="47"/>
      <c r="D2" s="47"/>
      <c r="E2" s="47"/>
      <c r="F2" s="47"/>
      <c r="G2" s="47"/>
      <c r="H2" s="47"/>
      <c r="I2" s="47"/>
    </row>
    <row r="3" spans="1:16" x14ac:dyDescent="0.25">
      <c r="A3" s="1"/>
      <c r="B3" s="47" t="s">
        <v>263</v>
      </c>
      <c r="C3" s="47"/>
      <c r="D3" s="47"/>
      <c r="E3" s="47"/>
      <c r="F3" s="47"/>
      <c r="G3" s="47"/>
      <c r="H3" s="47"/>
      <c r="I3" s="47"/>
    </row>
    <row r="4" spans="1:16" ht="9.75" customHeight="1" x14ac:dyDescent="0.25">
      <c r="A4" s="1"/>
      <c r="B4" s="1"/>
      <c r="C4" s="1"/>
      <c r="D4" s="1"/>
      <c r="E4" s="1"/>
      <c r="F4" s="1"/>
      <c r="G4" s="1" t="s">
        <v>255</v>
      </c>
      <c r="H4" s="1"/>
      <c r="I4" s="1"/>
    </row>
    <row r="5" spans="1:16" x14ac:dyDescent="0.25">
      <c r="A5" s="3" t="s">
        <v>1</v>
      </c>
      <c r="B5" s="46" t="s">
        <v>317</v>
      </c>
      <c r="C5" s="46"/>
      <c r="D5" s="46"/>
      <c r="E5" s="46"/>
      <c r="F5" s="3" t="s">
        <v>6</v>
      </c>
      <c r="G5" s="12" t="s">
        <v>315</v>
      </c>
      <c r="I5" s="3" t="s">
        <v>11</v>
      </c>
      <c r="J5" s="48">
        <f ca="1">TODAY()</f>
        <v>46298</v>
      </c>
      <c r="K5" s="43"/>
      <c r="L5" s="43"/>
    </row>
    <row r="6" spans="1:16" ht="9.75" customHeight="1" x14ac:dyDescent="0.25">
      <c r="A6" s="4"/>
      <c r="B6" s="2"/>
      <c r="C6" s="2"/>
      <c r="D6" s="2"/>
      <c r="E6" s="2"/>
      <c r="F6" s="2"/>
      <c r="G6" s="2"/>
      <c r="H6" s="4"/>
      <c r="I6" s="5"/>
      <c r="J6" s="6"/>
      <c r="K6" s="6"/>
      <c r="L6" s="6"/>
      <c r="O6" s="29"/>
    </row>
    <row r="7" spans="1:16" x14ac:dyDescent="0.25">
      <c r="A7" s="24" t="s">
        <v>2</v>
      </c>
      <c r="B7" s="21" t="s">
        <v>285</v>
      </c>
      <c r="C7" s="24" t="s">
        <v>3</v>
      </c>
      <c r="D7" s="12"/>
      <c r="E7" s="24" t="s">
        <v>4</v>
      </c>
      <c r="F7" s="33" t="s">
        <v>316</v>
      </c>
      <c r="G7" s="24" t="s">
        <v>225</v>
      </c>
      <c r="H7" s="21" t="s">
        <v>319</v>
      </c>
      <c r="I7" s="25" t="s">
        <v>224</v>
      </c>
      <c r="J7" s="26" t="s">
        <v>321</v>
      </c>
      <c r="K7" s="24" t="s">
        <v>5</v>
      </c>
      <c r="L7" s="27">
        <v>0.94</v>
      </c>
      <c r="O7" s="29"/>
    </row>
    <row r="8" spans="1:16" ht="10.5" customHeight="1" x14ac:dyDescent="0.25">
      <c r="B8" s="23"/>
      <c r="G8" s="28"/>
      <c r="H8" s="17"/>
      <c r="O8" s="29"/>
    </row>
    <row r="9" spans="1:16" ht="12" customHeight="1" x14ac:dyDescent="0.25">
      <c r="A9" s="41" t="s">
        <v>318</v>
      </c>
      <c r="B9" s="41"/>
      <c r="C9" s="41"/>
      <c r="D9" s="41"/>
      <c r="E9" s="41"/>
      <c r="F9" s="41"/>
      <c r="G9" s="41"/>
      <c r="H9" s="41"/>
      <c r="I9" s="38" t="s">
        <v>265</v>
      </c>
      <c r="J9" s="38"/>
      <c r="K9" s="38"/>
      <c r="L9" s="38"/>
      <c r="O9" s="29"/>
      <c r="P9" s="30"/>
    </row>
    <row r="10" spans="1:16" ht="12" customHeight="1" x14ac:dyDescent="0.25">
      <c r="A10" s="42" t="s">
        <v>244</v>
      </c>
      <c r="B10" s="42"/>
      <c r="C10" s="42"/>
      <c r="D10" s="42"/>
      <c r="E10" s="42"/>
      <c r="F10" s="42"/>
      <c r="G10" s="42"/>
      <c r="H10" s="42"/>
      <c r="I10" s="50"/>
      <c r="J10" s="50"/>
      <c r="K10" s="50"/>
      <c r="L10" s="50"/>
      <c r="O10" s="29"/>
    </row>
    <row r="11" spans="1:16" ht="12" customHeight="1" x14ac:dyDescent="0.25">
      <c r="A11" s="43"/>
      <c r="B11" s="43"/>
      <c r="C11" s="43"/>
      <c r="D11" s="43"/>
      <c r="E11" s="43"/>
      <c r="F11" s="43"/>
      <c r="G11" s="43"/>
      <c r="H11" s="43"/>
      <c r="I11" s="50"/>
      <c r="J11" s="50"/>
      <c r="K11" s="50"/>
      <c r="L11" s="50"/>
      <c r="O11" s="29"/>
    </row>
    <row r="12" spans="1:16" ht="12" customHeight="1" x14ac:dyDescent="0.25">
      <c r="A12" s="41" t="s">
        <v>294</v>
      </c>
      <c r="B12" s="41"/>
      <c r="C12" s="41"/>
      <c r="D12" s="41"/>
      <c r="E12" s="41"/>
      <c r="F12" s="41"/>
      <c r="G12" s="41"/>
      <c r="H12" s="41"/>
      <c r="I12" s="50"/>
      <c r="J12" s="50"/>
      <c r="K12" s="50"/>
      <c r="L12" s="50"/>
      <c r="O12" s="29"/>
    </row>
    <row r="13" spans="1:16" ht="12" customHeight="1" x14ac:dyDescent="0.25">
      <c r="A13" s="42" t="s">
        <v>320</v>
      </c>
      <c r="B13" s="42"/>
      <c r="C13" s="42"/>
      <c r="D13" s="42"/>
      <c r="E13" s="42"/>
      <c r="F13" s="42"/>
      <c r="G13" s="42"/>
      <c r="H13" s="42"/>
      <c r="I13" s="50"/>
      <c r="J13" s="50"/>
      <c r="K13" s="50"/>
      <c r="L13" s="50"/>
      <c r="O13" s="29"/>
    </row>
    <row r="14" spans="1:16" ht="12" customHeight="1" x14ac:dyDescent="0.25">
      <c r="A14" s="49"/>
      <c r="B14" s="49"/>
      <c r="C14" s="49"/>
      <c r="D14" s="49"/>
      <c r="E14" s="49"/>
      <c r="F14" s="49"/>
      <c r="G14" s="49"/>
      <c r="H14" s="49"/>
      <c r="I14" s="50"/>
      <c r="J14" s="50"/>
      <c r="K14" s="50"/>
      <c r="L14" s="50"/>
      <c r="O14" s="29"/>
    </row>
    <row r="15" spans="1:16" ht="12" customHeight="1" x14ac:dyDescent="0.25">
      <c r="A15" s="41"/>
      <c r="B15" s="41"/>
      <c r="C15" s="41"/>
      <c r="D15" s="41"/>
      <c r="E15" s="41"/>
      <c r="F15" s="41"/>
      <c r="G15" s="41"/>
      <c r="H15" s="41"/>
      <c r="I15" s="50"/>
      <c r="J15" s="50"/>
      <c r="K15" s="50"/>
      <c r="L15" s="50"/>
      <c r="O15" s="29"/>
    </row>
    <row r="16" spans="1:16" ht="12" customHeight="1" x14ac:dyDescent="0.25">
      <c r="A16" s="42"/>
      <c r="B16" s="42"/>
      <c r="C16" s="42"/>
      <c r="D16" s="42"/>
      <c r="E16" s="42"/>
      <c r="F16" s="42"/>
      <c r="G16" s="42"/>
      <c r="H16" s="42"/>
      <c r="I16" s="50"/>
      <c r="J16" s="50"/>
      <c r="K16" s="50"/>
      <c r="L16" s="50"/>
      <c r="O16" s="29"/>
    </row>
    <row r="17" spans="1:15" ht="12" customHeight="1" x14ac:dyDescent="0.25">
      <c r="A17" s="49"/>
      <c r="B17" s="49"/>
      <c r="C17" s="49"/>
      <c r="D17" s="49"/>
      <c r="E17" s="49"/>
      <c r="F17" s="49"/>
      <c r="G17" s="49"/>
      <c r="H17" s="49"/>
      <c r="I17" s="50"/>
      <c r="J17" s="50"/>
      <c r="K17" s="50"/>
      <c r="L17" s="50"/>
      <c r="O17" s="29"/>
    </row>
    <row r="18" spans="1:15" ht="12" customHeight="1" x14ac:dyDescent="0.25">
      <c r="A18" s="41"/>
      <c r="B18" s="41"/>
      <c r="C18" s="41"/>
      <c r="D18" s="41"/>
      <c r="E18" s="41"/>
      <c r="F18" s="41"/>
      <c r="G18" s="41"/>
      <c r="H18" s="41"/>
      <c r="I18" s="50"/>
      <c r="J18" s="50"/>
      <c r="K18" s="50"/>
      <c r="L18" s="50"/>
    </row>
    <row r="19" spans="1:15" ht="12" customHeight="1" x14ac:dyDescent="0.25">
      <c r="A19" s="42"/>
      <c r="B19" s="42"/>
      <c r="C19" s="42"/>
      <c r="D19" s="42"/>
      <c r="E19" s="42"/>
      <c r="F19" s="42"/>
      <c r="G19" s="42"/>
      <c r="H19" s="42"/>
      <c r="I19" s="50"/>
      <c r="J19" s="50"/>
      <c r="K19" s="50"/>
      <c r="L19" s="50"/>
    </row>
    <row r="20" spans="1:15" ht="12" customHeight="1" x14ac:dyDescent="0.25">
      <c r="A20" s="43"/>
      <c r="B20" s="43"/>
      <c r="C20" s="43"/>
      <c r="D20" s="43"/>
      <c r="E20" s="43"/>
      <c r="F20" s="43"/>
      <c r="G20" s="43"/>
      <c r="H20" s="43"/>
      <c r="I20" s="50"/>
      <c r="J20" s="50"/>
      <c r="K20" s="50"/>
      <c r="L20" s="50"/>
    </row>
    <row r="21" spans="1:15" ht="12" customHeight="1" x14ac:dyDescent="0.25">
      <c r="A21" s="44"/>
      <c r="B21" s="44"/>
      <c r="C21" s="44"/>
      <c r="D21" s="44"/>
      <c r="E21" s="44"/>
      <c r="F21" s="44"/>
      <c r="G21" s="44"/>
      <c r="H21" s="44"/>
      <c r="I21" s="50"/>
      <c r="J21" s="50"/>
      <c r="K21" s="50"/>
      <c r="L21" s="50"/>
    </row>
    <row r="22" spans="1:15" ht="12" customHeight="1" x14ac:dyDescent="0.25">
      <c r="A22" s="42"/>
      <c r="B22" s="42"/>
      <c r="C22" s="42"/>
      <c r="D22" s="42"/>
      <c r="E22" s="42"/>
      <c r="F22" s="42"/>
      <c r="G22" s="42"/>
      <c r="H22" s="42"/>
      <c r="I22" s="50"/>
      <c r="J22" s="50"/>
      <c r="K22" s="50"/>
      <c r="L22" s="50"/>
    </row>
    <row r="23" spans="1:15" ht="12" customHeight="1" x14ac:dyDescent="0.25">
      <c r="A23" s="44"/>
      <c r="B23" s="44"/>
      <c r="C23" s="44"/>
      <c r="D23" s="44"/>
      <c r="E23" s="44"/>
      <c r="F23" s="44"/>
      <c r="G23" s="44"/>
      <c r="H23" s="44"/>
      <c r="I23" s="50"/>
      <c r="J23" s="50"/>
      <c r="K23" s="50"/>
      <c r="L23" s="50"/>
    </row>
    <row r="24" spans="1:15" ht="12" customHeight="1" x14ac:dyDescent="0.25">
      <c r="A24" s="41"/>
      <c r="B24" s="41"/>
      <c r="C24" s="41"/>
      <c r="D24" s="41"/>
      <c r="E24" s="41"/>
      <c r="F24" s="41"/>
      <c r="G24" s="41"/>
      <c r="H24" s="41"/>
      <c r="I24" s="11"/>
      <c r="J24" s="11"/>
      <c r="K24" s="11"/>
      <c r="L24" s="11"/>
    </row>
    <row r="25" spans="1:15" ht="12" customHeight="1" x14ac:dyDescent="0.25">
      <c r="A25" s="42"/>
      <c r="B25" s="42"/>
      <c r="C25" s="42"/>
      <c r="D25" s="42"/>
      <c r="E25" s="42"/>
      <c r="F25" s="42"/>
      <c r="G25" s="42"/>
      <c r="H25" s="42"/>
      <c r="I25" s="40"/>
      <c r="J25" s="40"/>
      <c r="K25" s="40"/>
      <c r="L25" s="40"/>
    </row>
    <row r="26" spans="1:15" ht="12" customHeight="1" x14ac:dyDescent="0.25">
      <c r="A26" s="31"/>
      <c r="B26" s="31"/>
      <c r="C26" s="31"/>
      <c r="D26" s="31"/>
      <c r="E26" s="31"/>
      <c r="F26" s="31"/>
      <c r="G26" s="31"/>
      <c r="H26" s="31"/>
      <c r="I26" s="32"/>
      <c r="J26" s="32"/>
      <c r="K26" s="32"/>
      <c r="L26" s="32"/>
    </row>
    <row r="27" spans="1:15" ht="9.9499999999999993" customHeight="1" x14ac:dyDescent="0.25">
      <c r="A27" s="39">
        <v>2481592448</v>
      </c>
      <c r="B27" s="39"/>
      <c r="C27" s="39"/>
      <c r="D27" s="39"/>
      <c r="E27" s="39" t="s">
        <v>7</v>
      </c>
      <c r="F27" s="39"/>
      <c r="G27" s="39"/>
      <c r="H27" s="39"/>
      <c r="I27" s="39"/>
      <c r="J27" s="39"/>
      <c r="K27" s="39"/>
      <c r="L27" s="39"/>
    </row>
    <row r="28" spans="1:15" ht="9.9499999999999993" customHeight="1" x14ac:dyDescent="0.2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</row>
  </sheetData>
  <mergeCells count="27">
    <mergeCell ref="A23:H23"/>
    <mergeCell ref="A24:H24"/>
    <mergeCell ref="A25:H25"/>
    <mergeCell ref="A11:H11"/>
    <mergeCell ref="A14:H14"/>
    <mergeCell ref="A17:H17"/>
    <mergeCell ref="B1:J1"/>
    <mergeCell ref="B5:E5"/>
    <mergeCell ref="B2:I2"/>
    <mergeCell ref="J5:L5"/>
    <mergeCell ref="B3:I3"/>
    <mergeCell ref="I9:L9"/>
    <mergeCell ref="E27:L28"/>
    <mergeCell ref="A27:D28"/>
    <mergeCell ref="I10:L23"/>
    <mergeCell ref="I25:L25"/>
    <mergeCell ref="A9:H9"/>
    <mergeCell ref="A10:H10"/>
    <mergeCell ref="A12:H12"/>
    <mergeCell ref="A18:H18"/>
    <mergeCell ref="A15:H15"/>
    <mergeCell ref="A13:H13"/>
    <mergeCell ref="A16:H16"/>
    <mergeCell ref="A19:H19"/>
    <mergeCell ref="A20:H20"/>
    <mergeCell ref="A21:H21"/>
    <mergeCell ref="A22:H22"/>
  </mergeCells>
  <pageMargins left="0.23622047244094491" right="0.23622047244094491" top="0.19685039370078741" bottom="0.19685039370078741" header="0.31496062992125984" footer="0.31496062992125984"/>
  <pageSetup paperSize="6" orientation="landscape" horizontalDpi="200" verticalDpi="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xr:uid="{89178A39-A077-4701-AB97-97E3A70F24C4}">
          <x14:formula1>
            <xm:f>MEDICAMENTOS!$A$2:$A$392</xm:f>
          </x14:formula1>
          <xm:sqref>A26:H26 A9 A24 A12 A15 A18</xm:sqref>
        </x14:dataValidation>
        <x14:dataValidation type="list" allowBlank="1" showInputMessage="1" xr:uid="{7BA464CD-1714-44E2-80A3-83E51844DCAE}">
          <x14:formula1>
            <xm:f>'M. GRALES'!$A$1:$A$58</xm:f>
          </x14:formula1>
          <xm:sqref>I10:L23</xm:sqref>
        </x14:dataValidation>
        <x14:dataValidation type="list" allowBlank="1" showInputMessage="1" showErrorMessage="1" xr:uid="{2B816606-B89E-496F-B6DD-5E92F3370F4A}">
          <x14:formula1>
            <xm:f>POSOLOGÍA!$A$1:$A$21</xm:f>
          </x14:formula1>
          <xm:sqref>A22:H22</xm:sqref>
        </x14:dataValidation>
        <x14:dataValidation type="list" allowBlank="1" showInputMessage="1" xr:uid="{AEBE4A4A-E989-4F9A-AD12-C155D805A35E}">
          <x14:formula1>
            <xm:f>POSOLOGÍA!$A$1:$A$21</xm:f>
          </x14:formula1>
          <xm:sqref>A10:H10 A13:H13 A16:H16 A25:H25 A19:H19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0A64A-F8FB-44B5-9CD6-7A14A6939E17}">
  <dimension ref="A1:E8"/>
  <sheetViews>
    <sheetView workbookViewId="0">
      <selection activeCell="C3" sqref="C3"/>
    </sheetView>
  </sheetViews>
  <sheetFormatPr baseColWidth="10" defaultRowHeight="15" x14ac:dyDescent="0.25"/>
  <cols>
    <col min="1" max="1" width="48.28515625" customWidth="1"/>
    <col min="2" max="2" width="18.7109375" customWidth="1"/>
  </cols>
  <sheetData>
    <row r="1" spans="1:5" x14ac:dyDescent="0.25">
      <c r="A1" s="14" t="s">
        <v>207</v>
      </c>
      <c r="B1" s="14" t="s">
        <v>208</v>
      </c>
      <c r="C1" s="14" t="s">
        <v>209</v>
      </c>
      <c r="D1" s="16" t="s">
        <v>221</v>
      </c>
      <c r="E1" s="16" t="s">
        <v>218</v>
      </c>
    </row>
    <row r="2" spans="1:5" x14ac:dyDescent="0.25">
      <c r="A2" t="s">
        <v>210</v>
      </c>
      <c r="B2" t="s">
        <v>211</v>
      </c>
      <c r="C2">
        <v>15</v>
      </c>
      <c r="D2" s="15">
        <f>(C2*15)/32</f>
        <v>7.03125</v>
      </c>
      <c r="E2" s="15">
        <f>D2*20</f>
        <v>140.625</v>
      </c>
    </row>
    <row r="3" spans="1:5" x14ac:dyDescent="0.25">
      <c r="A3" t="s">
        <v>212</v>
      </c>
      <c r="B3" t="s">
        <v>211</v>
      </c>
      <c r="D3" s="15">
        <f>(C3*15)/100</f>
        <v>0</v>
      </c>
      <c r="E3" s="15">
        <f>D3*20</f>
        <v>0</v>
      </c>
    </row>
    <row r="4" spans="1:5" x14ac:dyDescent="0.25">
      <c r="A4" t="s">
        <v>214</v>
      </c>
      <c r="B4" t="s">
        <v>220</v>
      </c>
      <c r="D4" s="15">
        <f>(C4*0.2)/4</f>
        <v>0</v>
      </c>
      <c r="E4" s="15">
        <f t="shared" ref="E4:E7" si="0">D4*20</f>
        <v>0</v>
      </c>
    </row>
    <row r="5" spans="1:5" x14ac:dyDescent="0.25">
      <c r="A5" t="s">
        <v>215</v>
      </c>
      <c r="B5" t="s">
        <v>216</v>
      </c>
      <c r="D5" s="15">
        <f>C5*0.5</f>
        <v>0</v>
      </c>
      <c r="E5" s="15">
        <f t="shared" si="0"/>
        <v>0</v>
      </c>
    </row>
    <row r="6" spans="1:5" x14ac:dyDescent="0.25">
      <c r="A6" t="s">
        <v>217</v>
      </c>
      <c r="B6" t="s">
        <v>216</v>
      </c>
      <c r="D6" s="15">
        <f>C6*0.25</f>
        <v>0</v>
      </c>
      <c r="E6" s="15">
        <f t="shared" si="0"/>
        <v>0</v>
      </c>
    </row>
    <row r="7" spans="1:5" x14ac:dyDescent="0.25">
      <c r="A7" t="s">
        <v>219</v>
      </c>
      <c r="D7" s="15">
        <f>(C7*15)/100</f>
        <v>0</v>
      </c>
      <c r="E7" s="15">
        <f t="shared" si="0"/>
        <v>0</v>
      </c>
    </row>
    <row r="8" spans="1:5" x14ac:dyDescent="0.25">
      <c r="A8" t="s">
        <v>256</v>
      </c>
      <c r="D8" s="15">
        <f>(C8*15)/100</f>
        <v>0</v>
      </c>
      <c r="E8" s="15">
        <f>D8*20</f>
        <v>0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FC8B8-091F-4D6B-A43F-201B776671BD}">
  <dimension ref="A1:B260"/>
  <sheetViews>
    <sheetView topLeftCell="A217" zoomScale="150" zoomScaleNormal="150" workbookViewId="0">
      <selection activeCell="A223" sqref="A223"/>
    </sheetView>
  </sheetViews>
  <sheetFormatPr baseColWidth="10" defaultRowHeight="15" x14ac:dyDescent="0.25"/>
  <cols>
    <col min="1" max="1" width="62.140625" customWidth="1"/>
    <col min="2" max="2" width="11.42578125" style="9"/>
  </cols>
  <sheetData>
    <row r="1" spans="1:2" x14ac:dyDescent="0.25">
      <c r="A1" s="7" t="s">
        <v>9</v>
      </c>
      <c r="B1" s="8" t="s">
        <v>10</v>
      </c>
    </row>
    <row r="2" spans="1:2" x14ac:dyDescent="0.25">
      <c r="A2" s="8" t="s">
        <v>26</v>
      </c>
      <c r="B2" s="8">
        <v>3045</v>
      </c>
    </row>
    <row r="3" spans="1:2" x14ac:dyDescent="0.25">
      <c r="A3" s="8" t="s">
        <v>27</v>
      </c>
      <c r="B3" s="8">
        <v>811</v>
      </c>
    </row>
    <row r="4" spans="1:2" x14ac:dyDescent="0.25">
      <c r="A4" s="8" t="s">
        <v>28</v>
      </c>
      <c r="B4" s="8">
        <v>4263</v>
      </c>
    </row>
    <row r="5" spans="1:2" x14ac:dyDescent="0.25">
      <c r="A5" s="8" t="s">
        <v>29</v>
      </c>
      <c r="B5" s="8">
        <v>4264</v>
      </c>
    </row>
    <row r="6" spans="1:2" x14ac:dyDescent="0.25">
      <c r="A6" s="8" t="s">
        <v>30</v>
      </c>
      <c r="B6" s="8">
        <v>2126</v>
      </c>
    </row>
    <row r="7" spans="1:2" x14ac:dyDescent="0.25">
      <c r="A7" s="8" t="s">
        <v>31</v>
      </c>
      <c r="B7" s="8">
        <v>2830</v>
      </c>
    </row>
    <row r="8" spans="1:2" x14ac:dyDescent="0.25">
      <c r="A8" s="8" t="s">
        <v>32</v>
      </c>
      <c r="B8" s="8"/>
    </row>
    <row r="9" spans="1:2" x14ac:dyDescent="0.25">
      <c r="A9" s="8" t="s">
        <v>33</v>
      </c>
      <c r="B9" s="8">
        <v>103</v>
      </c>
    </row>
    <row r="10" spans="1:2" x14ac:dyDescent="0.25">
      <c r="A10" s="8" t="s">
        <v>34</v>
      </c>
      <c r="B10" s="8">
        <v>101</v>
      </c>
    </row>
    <row r="11" spans="1:2" x14ac:dyDescent="0.25">
      <c r="A11" s="8" t="s">
        <v>35</v>
      </c>
      <c r="B11" s="8">
        <v>2707</v>
      </c>
    </row>
    <row r="12" spans="1:2" x14ac:dyDescent="0.25">
      <c r="A12" s="8" t="s">
        <v>36</v>
      </c>
      <c r="B12" s="8">
        <v>1711</v>
      </c>
    </row>
    <row r="13" spans="1:2" x14ac:dyDescent="0.25">
      <c r="A13" s="8" t="s">
        <v>37</v>
      </c>
      <c r="B13" s="8">
        <v>1706</v>
      </c>
    </row>
    <row r="14" spans="1:2" x14ac:dyDescent="0.25">
      <c r="A14" s="8" t="s">
        <v>38</v>
      </c>
      <c r="B14" s="8">
        <v>426</v>
      </c>
    </row>
    <row r="15" spans="1:2" x14ac:dyDescent="0.25">
      <c r="A15" s="8" t="s">
        <v>12</v>
      </c>
      <c r="B15" s="8">
        <v>1345</v>
      </c>
    </row>
    <row r="16" spans="1:2" x14ac:dyDescent="0.25">
      <c r="A16" s="8" t="s">
        <v>39</v>
      </c>
      <c r="B16" s="8">
        <v>1344</v>
      </c>
    </row>
    <row r="17" spans="1:2" x14ac:dyDescent="0.25">
      <c r="A17" s="8" t="s">
        <v>40</v>
      </c>
      <c r="B17" s="8">
        <v>871</v>
      </c>
    </row>
    <row r="18" spans="1:2" x14ac:dyDescent="0.25">
      <c r="A18" s="8" t="s">
        <v>41</v>
      </c>
      <c r="B18" s="8">
        <v>2503</v>
      </c>
    </row>
    <row r="19" spans="1:2" x14ac:dyDescent="0.25">
      <c r="A19" s="8" t="s">
        <v>42</v>
      </c>
      <c r="B19" s="8">
        <v>3662</v>
      </c>
    </row>
    <row r="20" spans="1:2" x14ac:dyDescent="0.25">
      <c r="A20" s="8" t="s">
        <v>43</v>
      </c>
      <c r="B20" s="8">
        <v>3451</v>
      </c>
    </row>
    <row r="21" spans="1:2" x14ac:dyDescent="0.25">
      <c r="A21" s="8" t="s">
        <v>44</v>
      </c>
      <c r="B21" s="8">
        <v>1224</v>
      </c>
    </row>
    <row r="22" spans="1:2" x14ac:dyDescent="0.25">
      <c r="A22" s="8" t="s">
        <v>45</v>
      </c>
      <c r="B22" s="8">
        <v>1223</v>
      </c>
    </row>
    <row r="23" spans="1:2" x14ac:dyDescent="0.25">
      <c r="A23" s="8" t="s">
        <v>46</v>
      </c>
      <c r="B23" s="8">
        <v>2462</v>
      </c>
    </row>
    <row r="24" spans="1:2" x14ac:dyDescent="0.25">
      <c r="A24" s="8" t="s">
        <v>47</v>
      </c>
      <c r="B24" s="8">
        <v>2463</v>
      </c>
    </row>
    <row r="25" spans="1:2" x14ac:dyDescent="0.25">
      <c r="A25" s="8" t="s">
        <v>13</v>
      </c>
      <c r="B25" s="8">
        <v>1957</v>
      </c>
    </row>
    <row r="26" spans="1:2" x14ac:dyDescent="0.25">
      <c r="A26" s="8" t="s">
        <v>14</v>
      </c>
      <c r="B26" s="8">
        <v>2111</v>
      </c>
    </row>
    <row r="27" spans="1:2" x14ac:dyDescent="0.25">
      <c r="A27" s="8" t="s">
        <v>48</v>
      </c>
      <c r="B27" s="8">
        <v>2128</v>
      </c>
    </row>
    <row r="28" spans="1:2" x14ac:dyDescent="0.25">
      <c r="A28" s="8" t="s">
        <v>261</v>
      </c>
      <c r="B28" s="8">
        <v>2129</v>
      </c>
    </row>
    <row r="29" spans="1:2" x14ac:dyDescent="0.25">
      <c r="A29" s="8" t="s">
        <v>257</v>
      </c>
      <c r="B29" s="8"/>
    </row>
    <row r="30" spans="1:2" x14ac:dyDescent="0.25">
      <c r="A30" s="8" t="s">
        <v>258</v>
      </c>
      <c r="B30" s="8"/>
    </row>
    <row r="31" spans="1:2" x14ac:dyDescent="0.25">
      <c r="A31" s="8" t="s">
        <v>260</v>
      </c>
      <c r="B31" s="8"/>
    </row>
    <row r="32" spans="1:2" x14ac:dyDescent="0.25">
      <c r="A32" s="8" t="s">
        <v>259</v>
      </c>
      <c r="B32" s="8"/>
    </row>
    <row r="33" spans="1:2" x14ac:dyDescent="0.25">
      <c r="A33" s="8" t="s">
        <v>15</v>
      </c>
      <c r="B33" s="8">
        <v>1930</v>
      </c>
    </row>
    <row r="34" spans="1:2" x14ac:dyDescent="0.25">
      <c r="A34" s="8" t="s">
        <v>16</v>
      </c>
      <c r="B34" s="8">
        <v>2127</v>
      </c>
    </row>
    <row r="35" spans="1:2" x14ac:dyDescent="0.25">
      <c r="A35" s="8" t="s">
        <v>49</v>
      </c>
      <c r="B35" s="8">
        <v>2230</v>
      </c>
    </row>
    <row r="36" spans="1:2" x14ac:dyDescent="0.25">
      <c r="A36" s="8" t="s">
        <v>223</v>
      </c>
      <c r="B36" s="13"/>
    </row>
    <row r="37" spans="1:2" x14ac:dyDescent="0.25">
      <c r="A37" s="8" t="s">
        <v>50</v>
      </c>
      <c r="B37" s="8">
        <v>1931</v>
      </c>
    </row>
    <row r="38" spans="1:2" x14ac:dyDescent="0.25">
      <c r="A38" s="8" t="s">
        <v>51</v>
      </c>
      <c r="B38" s="8">
        <v>1929</v>
      </c>
    </row>
    <row r="39" spans="1:2" x14ac:dyDescent="0.25">
      <c r="A39" s="8" t="s">
        <v>52</v>
      </c>
      <c r="B39" s="8">
        <v>1969</v>
      </c>
    </row>
    <row r="40" spans="1:2" x14ac:dyDescent="0.25">
      <c r="A40" s="8" t="s">
        <v>53</v>
      </c>
      <c r="B40" s="8">
        <v>801</v>
      </c>
    </row>
    <row r="41" spans="1:2" x14ac:dyDescent="0.25">
      <c r="A41" s="8" t="s">
        <v>54</v>
      </c>
      <c r="B41" s="8">
        <v>1925</v>
      </c>
    </row>
    <row r="42" spans="1:2" x14ac:dyDescent="0.25">
      <c r="A42" s="8" t="s">
        <v>55</v>
      </c>
      <c r="B42" s="8">
        <v>1923</v>
      </c>
    </row>
    <row r="43" spans="1:2" x14ac:dyDescent="0.25">
      <c r="A43" s="8" t="s">
        <v>56</v>
      </c>
      <c r="B43" s="8">
        <v>1924</v>
      </c>
    </row>
    <row r="44" spans="1:2" x14ac:dyDescent="0.25">
      <c r="A44" s="8" t="s">
        <v>57</v>
      </c>
      <c r="B44" s="8">
        <v>1921</v>
      </c>
    </row>
    <row r="45" spans="1:2" x14ac:dyDescent="0.25">
      <c r="A45" s="8" t="s">
        <v>58</v>
      </c>
      <c r="B45" s="8">
        <v>2141</v>
      </c>
    </row>
    <row r="46" spans="1:2" x14ac:dyDescent="0.25">
      <c r="A46" s="8" t="s">
        <v>59</v>
      </c>
      <c r="B46" s="8">
        <v>1938</v>
      </c>
    </row>
    <row r="47" spans="1:2" x14ac:dyDescent="0.25">
      <c r="A47" s="8" t="s">
        <v>60</v>
      </c>
      <c r="B47" s="8">
        <v>1933</v>
      </c>
    </row>
    <row r="48" spans="1:2" x14ac:dyDescent="0.25">
      <c r="A48" s="8" t="s">
        <v>61</v>
      </c>
      <c r="B48" s="8">
        <v>2433</v>
      </c>
    </row>
    <row r="49" spans="1:2" x14ac:dyDescent="0.25">
      <c r="A49" s="8" t="s">
        <v>62</v>
      </c>
      <c r="B49" s="8">
        <v>655</v>
      </c>
    </row>
    <row r="50" spans="1:2" x14ac:dyDescent="0.25">
      <c r="A50" s="8" t="s">
        <v>63</v>
      </c>
      <c r="B50" s="8">
        <v>3618</v>
      </c>
    </row>
    <row r="51" spans="1:2" x14ac:dyDescent="0.25">
      <c r="A51" s="8" t="s">
        <v>64</v>
      </c>
      <c r="B51" s="8">
        <v>2190</v>
      </c>
    </row>
    <row r="52" spans="1:2" x14ac:dyDescent="0.25">
      <c r="A52" s="8" t="s">
        <v>65</v>
      </c>
      <c r="B52" s="8">
        <v>2188</v>
      </c>
    </row>
    <row r="53" spans="1:2" x14ac:dyDescent="0.25">
      <c r="A53" s="8" t="s">
        <v>66</v>
      </c>
      <c r="B53" s="8">
        <v>2187</v>
      </c>
    </row>
    <row r="54" spans="1:2" x14ac:dyDescent="0.25">
      <c r="A54" s="8" t="s">
        <v>67</v>
      </c>
      <c r="B54" s="8">
        <v>1210</v>
      </c>
    </row>
    <row r="55" spans="1:2" x14ac:dyDescent="0.25">
      <c r="A55" s="8" t="s">
        <v>68</v>
      </c>
      <c r="B55" s="8">
        <v>1206</v>
      </c>
    </row>
    <row r="56" spans="1:2" x14ac:dyDescent="0.25">
      <c r="A56" s="8" t="s">
        <v>69</v>
      </c>
      <c r="B56" s="8">
        <v>1207</v>
      </c>
    </row>
    <row r="57" spans="1:2" x14ac:dyDescent="0.25">
      <c r="A57" s="8" t="s">
        <v>70</v>
      </c>
      <c r="B57" s="8">
        <v>1006</v>
      </c>
    </row>
    <row r="58" spans="1:2" x14ac:dyDescent="0.25">
      <c r="A58" s="8" t="s">
        <v>71</v>
      </c>
      <c r="B58" s="8">
        <v>574</v>
      </c>
    </row>
    <row r="59" spans="1:2" x14ac:dyDescent="0.25">
      <c r="A59" s="8" t="s">
        <v>72</v>
      </c>
      <c r="B59" s="8">
        <v>1541</v>
      </c>
    </row>
    <row r="60" spans="1:2" x14ac:dyDescent="0.25">
      <c r="A60" s="8" t="s">
        <v>73</v>
      </c>
      <c r="B60" s="8">
        <v>1939</v>
      </c>
    </row>
    <row r="61" spans="1:2" x14ac:dyDescent="0.25">
      <c r="A61" s="8" t="s">
        <v>17</v>
      </c>
      <c r="B61" s="8">
        <v>1935</v>
      </c>
    </row>
    <row r="62" spans="1:2" x14ac:dyDescent="0.25">
      <c r="A62" s="8" t="s">
        <v>18</v>
      </c>
      <c r="B62" s="8">
        <v>1937</v>
      </c>
    </row>
    <row r="63" spans="1:2" x14ac:dyDescent="0.25">
      <c r="A63" s="8" t="s">
        <v>74</v>
      </c>
      <c r="B63" s="8">
        <v>2174</v>
      </c>
    </row>
    <row r="64" spans="1:2" x14ac:dyDescent="0.25">
      <c r="A64" s="8" t="s">
        <v>75</v>
      </c>
      <c r="B64" s="8">
        <v>4255</v>
      </c>
    </row>
    <row r="65" spans="1:2" x14ac:dyDescent="0.25">
      <c r="A65" s="8" t="s">
        <v>76</v>
      </c>
      <c r="B65" s="8">
        <v>2132</v>
      </c>
    </row>
    <row r="66" spans="1:2" x14ac:dyDescent="0.25">
      <c r="A66" s="8" t="s">
        <v>77</v>
      </c>
      <c r="B66" s="8">
        <v>2133</v>
      </c>
    </row>
    <row r="67" spans="1:2" x14ac:dyDescent="0.25">
      <c r="A67" s="8" t="s">
        <v>78</v>
      </c>
      <c r="B67" s="8">
        <v>872</v>
      </c>
    </row>
    <row r="68" spans="1:2" x14ac:dyDescent="0.25">
      <c r="A68" s="8" t="s">
        <v>79</v>
      </c>
      <c r="B68" s="8">
        <v>4028</v>
      </c>
    </row>
    <row r="69" spans="1:2" x14ac:dyDescent="0.25">
      <c r="A69" s="8" t="s">
        <v>19</v>
      </c>
      <c r="B69" s="8">
        <v>2821</v>
      </c>
    </row>
    <row r="70" spans="1:2" x14ac:dyDescent="0.25">
      <c r="A70" s="8" t="s">
        <v>80</v>
      </c>
      <c r="B70" s="8">
        <v>2822</v>
      </c>
    </row>
    <row r="71" spans="1:2" x14ac:dyDescent="0.25">
      <c r="A71" s="8" t="s">
        <v>81</v>
      </c>
      <c r="B71" s="8">
        <v>408</v>
      </c>
    </row>
    <row r="72" spans="1:2" x14ac:dyDescent="0.25">
      <c r="A72" s="8" t="s">
        <v>82</v>
      </c>
      <c r="B72" s="8">
        <v>402</v>
      </c>
    </row>
    <row r="73" spans="1:2" x14ac:dyDescent="0.25">
      <c r="A73" s="8" t="s">
        <v>83</v>
      </c>
      <c r="B73" s="8">
        <v>2471</v>
      </c>
    </row>
    <row r="74" spans="1:2" x14ac:dyDescent="0.25">
      <c r="A74" s="8" t="s">
        <v>84</v>
      </c>
      <c r="B74" s="8">
        <v>561</v>
      </c>
    </row>
    <row r="75" spans="1:2" x14ac:dyDescent="0.25">
      <c r="A75" s="8" t="s">
        <v>85</v>
      </c>
      <c r="B75" s="8">
        <v>2714</v>
      </c>
    </row>
    <row r="76" spans="1:2" x14ac:dyDescent="0.25">
      <c r="A76" s="8" t="s">
        <v>86</v>
      </c>
      <c r="B76" s="8">
        <v>2806</v>
      </c>
    </row>
    <row r="77" spans="1:2" x14ac:dyDescent="0.25">
      <c r="A77" s="8" t="s">
        <v>87</v>
      </c>
      <c r="B77" s="8">
        <v>3505</v>
      </c>
    </row>
    <row r="78" spans="1:2" x14ac:dyDescent="0.25">
      <c r="A78" s="8" t="s">
        <v>20</v>
      </c>
      <c r="B78" s="8">
        <v>2431</v>
      </c>
    </row>
    <row r="79" spans="1:2" x14ac:dyDescent="0.25">
      <c r="A79" s="8" t="s">
        <v>88</v>
      </c>
      <c r="B79" s="8">
        <v>3417</v>
      </c>
    </row>
    <row r="80" spans="1:2" x14ac:dyDescent="0.25">
      <c r="A80" s="8" t="s">
        <v>89</v>
      </c>
      <c r="B80" s="8">
        <v>5501</v>
      </c>
    </row>
    <row r="81" spans="1:2" x14ac:dyDescent="0.25">
      <c r="A81" s="8" t="s">
        <v>21</v>
      </c>
      <c r="B81" s="8">
        <v>1927</v>
      </c>
    </row>
    <row r="82" spans="1:2" x14ac:dyDescent="0.25">
      <c r="A82" s="8" t="s">
        <v>90</v>
      </c>
      <c r="B82" s="8">
        <v>1926</v>
      </c>
    </row>
    <row r="83" spans="1:2" x14ac:dyDescent="0.25">
      <c r="A83" s="8" t="s">
        <v>91</v>
      </c>
      <c r="B83" s="8">
        <v>406</v>
      </c>
    </row>
    <row r="84" spans="1:2" x14ac:dyDescent="0.25">
      <c r="A84" s="8" t="s">
        <v>92</v>
      </c>
      <c r="B84" s="8">
        <v>405</v>
      </c>
    </row>
    <row r="85" spans="1:2" x14ac:dyDescent="0.25">
      <c r="A85" s="8" t="s">
        <v>93</v>
      </c>
      <c r="B85" s="8">
        <v>3111</v>
      </c>
    </row>
    <row r="86" spans="1:2" x14ac:dyDescent="0.25">
      <c r="A86" s="8" t="s">
        <v>94</v>
      </c>
      <c r="B86" s="8">
        <v>3112</v>
      </c>
    </row>
    <row r="87" spans="1:2" x14ac:dyDescent="0.25">
      <c r="A87" s="8" t="s">
        <v>95</v>
      </c>
      <c r="B87" s="8">
        <v>502</v>
      </c>
    </row>
    <row r="88" spans="1:2" x14ac:dyDescent="0.25">
      <c r="A88" s="8" t="s">
        <v>96</v>
      </c>
      <c r="B88" s="8">
        <v>1940</v>
      </c>
    </row>
    <row r="89" spans="1:2" x14ac:dyDescent="0.25">
      <c r="A89" s="8" t="s">
        <v>97</v>
      </c>
      <c r="B89" s="8">
        <v>3623</v>
      </c>
    </row>
    <row r="90" spans="1:2" x14ac:dyDescent="0.25">
      <c r="A90" s="8" t="s">
        <v>98</v>
      </c>
      <c r="B90" s="8">
        <v>2501</v>
      </c>
    </row>
    <row r="91" spans="1:2" x14ac:dyDescent="0.25">
      <c r="A91" s="8" t="s">
        <v>22</v>
      </c>
      <c r="B91" s="8">
        <v>1972</v>
      </c>
    </row>
    <row r="92" spans="1:2" x14ac:dyDescent="0.25">
      <c r="A92" s="8" t="s">
        <v>99</v>
      </c>
      <c r="B92" s="8">
        <v>1971</v>
      </c>
    </row>
    <row r="93" spans="1:2" x14ac:dyDescent="0.25">
      <c r="A93" s="8" t="s">
        <v>100</v>
      </c>
      <c r="B93" s="8">
        <v>2304</v>
      </c>
    </row>
    <row r="94" spans="1:2" x14ac:dyDescent="0.25">
      <c r="A94" s="8" t="s">
        <v>101</v>
      </c>
      <c r="B94" s="8">
        <v>1501</v>
      </c>
    </row>
    <row r="95" spans="1:2" x14ac:dyDescent="0.25">
      <c r="A95" s="8" t="s">
        <v>102</v>
      </c>
      <c r="B95" s="8">
        <v>2331</v>
      </c>
    </row>
    <row r="96" spans="1:2" x14ac:dyDescent="0.25">
      <c r="A96" s="8" t="s">
        <v>103</v>
      </c>
      <c r="B96" s="8">
        <v>525</v>
      </c>
    </row>
    <row r="97" spans="1:2" x14ac:dyDescent="0.25">
      <c r="A97" s="8" t="s">
        <v>104</v>
      </c>
      <c r="B97" s="8">
        <v>2135</v>
      </c>
    </row>
    <row r="98" spans="1:2" x14ac:dyDescent="0.25">
      <c r="A98" s="8" t="s">
        <v>105</v>
      </c>
      <c r="B98" s="8">
        <v>626</v>
      </c>
    </row>
    <row r="99" spans="1:2" x14ac:dyDescent="0.25">
      <c r="A99" s="8" t="s">
        <v>106</v>
      </c>
      <c r="B99" s="8">
        <v>1732</v>
      </c>
    </row>
    <row r="100" spans="1:2" x14ac:dyDescent="0.25">
      <c r="A100" s="8" t="s">
        <v>107</v>
      </c>
      <c r="B100" s="8">
        <v>3617</v>
      </c>
    </row>
    <row r="101" spans="1:2" x14ac:dyDescent="0.25">
      <c r="A101" s="8" t="s">
        <v>108</v>
      </c>
      <c r="B101" s="8">
        <v>1701</v>
      </c>
    </row>
    <row r="102" spans="1:2" x14ac:dyDescent="0.25">
      <c r="A102" s="8" t="s">
        <v>109</v>
      </c>
      <c r="B102" s="8">
        <v>1702</v>
      </c>
    </row>
    <row r="103" spans="1:2" x14ac:dyDescent="0.25">
      <c r="A103" s="8" t="s">
        <v>110</v>
      </c>
      <c r="B103" s="8">
        <v>2307</v>
      </c>
    </row>
    <row r="104" spans="1:2" x14ac:dyDescent="0.25">
      <c r="A104" s="8" t="s">
        <v>111</v>
      </c>
      <c r="B104" s="8">
        <v>4359</v>
      </c>
    </row>
    <row r="105" spans="1:2" x14ac:dyDescent="0.25">
      <c r="A105" s="8" t="s">
        <v>112</v>
      </c>
      <c r="B105" s="8">
        <v>1042</v>
      </c>
    </row>
    <row r="106" spans="1:2" x14ac:dyDescent="0.25">
      <c r="A106" s="8" t="s">
        <v>113</v>
      </c>
      <c r="B106" s="8">
        <v>570</v>
      </c>
    </row>
    <row r="107" spans="1:2" x14ac:dyDescent="0.25">
      <c r="A107" s="8" t="s">
        <v>114</v>
      </c>
      <c r="B107" s="8">
        <v>2301</v>
      </c>
    </row>
    <row r="108" spans="1:2" x14ac:dyDescent="0.25">
      <c r="A108" s="8" t="s">
        <v>115</v>
      </c>
      <c r="B108" s="8">
        <v>1705</v>
      </c>
    </row>
    <row r="109" spans="1:2" x14ac:dyDescent="0.25">
      <c r="A109" s="8" t="s">
        <v>116</v>
      </c>
      <c r="B109" s="8">
        <v>813</v>
      </c>
    </row>
    <row r="110" spans="1:2" x14ac:dyDescent="0.25">
      <c r="A110" s="8" t="s">
        <v>117</v>
      </c>
      <c r="B110" s="8">
        <v>474</v>
      </c>
    </row>
    <row r="111" spans="1:2" x14ac:dyDescent="0.25">
      <c r="A111" s="8" t="s">
        <v>118</v>
      </c>
      <c r="B111" s="8">
        <v>2814</v>
      </c>
    </row>
    <row r="112" spans="1:2" x14ac:dyDescent="0.25">
      <c r="A112" s="8" t="s">
        <v>119</v>
      </c>
      <c r="B112" s="8"/>
    </row>
    <row r="113" spans="1:2" x14ac:dyDescent="0.25">
      <c r="A113" s="8" t="s">
        <v>120</v>
      </c>
      <c r="B113" s="8"/>
    </row>
    <row r="114" spans="1:2" x14ac:dyDescent="0.25">
      <c r="A114" s="8" t="s">
        <v>279</v>
      </c>
      <c r="B114" s="8"/>
    </row>
    <row r="115" spans="1:2" x14ac:dyDescent="0.25">
      <c r="A115" s="8" t="s">
        <v>121</v>
      </c>
      <c r="B115" s="8">
        <v>5941</v>
      </c>
    </row>
    <row r="116" spans="1:2" x14ac:dyDescent="0.25">
      <c r="A116" s="8" t="s">
        <v>122</v>
      </c>
      <c r="B116" s="8">
        <v>3414</v>
      </c>
    </row>
    <row r="117" spans="1:2" x14ac:dyDescent="0.25">
      <c r="A117" s="8" t="s">
        <v>123</v>
      </c>
      <c r="B117" s="8">
        <v>4158</v>
      </c>
    </row>
    <row r="118" spans="1:2" x14ac:dyDescent="0.25">
      <c r="A118" s="8" t="s">
        <v>124</v>
      </c>
      <c r="B118" s="8">
        <v>1050</v>
      </c>
    </row>
    <row r="119" spans="1:2" x14ac:dyDescent="0.25">
      <c r="A119" s="8" t="s">
        <v>124</v>
      </c>
      <c r="B119" s="8">
        <v>4157</v>
      </c>
    </row>
    <row r="120" spans="1:2" x14ac:dyDescent="0.25">
      <c r="A120" s="8" t="s">
        <v>125</v>
      </c>
      <c r="B120" s="8">
        <v>1051</v>
      </c>
    </row>
    <row r="121" spans="1:2" x14ac:dyDescent="0.25">
      <c r="A121" s="8" t="s">
        <v>126</v>
      </c>
      <c r="B121" s="8">
        <v>593</v>
      </c>
    </row>
    <row r="122" spans="1:2" x14ac:dyDescent="0.25">
      <c r="A122" s="8" t="s">
        <v>127</v>
      </c>
      <c r="B122" s="8">
        <v>592</v>
      </c>
    </row>
    <row r="123" spans="1:2" x14ac:dyDescent="0.25">
      <c r="A123" s="8" t="s">
        <v>128</v>
      </c>
      <c r="B123" s="8">
        <v>2016</v>
      </c>
    </row>
    <row r="124" spans="1:2" x14ac:dyDescent="0.25">
      <c r="A124" s="8" t="s">
        <v>129</v>
      </c>
      <c r="B124" s="8">
        <v>463</v>
      </c>
    </row>
    <row r="125" spans="1:2" x14ac:dyDescent="0.25">
      <c r="A125" s="8" t="s">
        <v>130</v>
      </c>
      <c r="B125" s="8">
        <v>2210</v>
      </c>
    </row>
    <row r="126" spans="1:2" x14ac:dyDescent="0.25">
      <c r="A126" s="8" t="s">
        <v>131</v>
      </c>
      <c r="B126" s="8">
        <v>3504</v>
      </c>
    </row>
    <row r="127" spans="1:2" x14ac:dyDescent="0.25">
      <c r="A127" s="8" t="s">
        <v>132</v>
      </c>
      <c r="B127" s="8">
        <v>1007</v>
      </c>
    </row>
    <row r="128" spans="1:2" x14ac:dyDescent="0.25">
      <c r="A128" s="8" t="s">
        <v>133</v>
      </c>
      <c r="B128" s="8">
        <v>261</v>
      </c>
    </row>
    <row r="129" spans="1:2" x14ac:dyDescent="0.25">
      <c r="A129" s="8" t="s">
        <v>134</v>
      </c>
      <c r="B129" s="8">
        <v>264</v>
      </c>
    </row>
    <row r="130" spans="1:2" x14ac:dyDescent="0.25">
      <c r="A130" s="8" t="s">
        <v>135</v>
      </c>
      <c r="B130" s="8">
        <v>1363</v>
      </c>
    </row>
    <row r="131" spans="1:2" x14ac:dyDescent="0.25">
      <c r="A131" s="8" t="s">
        <v>136</v>
      </c>
      <c r="B131" s="8">
        <v>2145</v>
      </c>
    </row>
    <row r="132" spans="1:2" x14ac:dyDescent="0.25">
      <c r="A132" s="8" t="s">
        <v>137</v>
      </c>
      <c r="B132" s="8">
        <v>2144</v>
      </c>
    </row>
    <row r="133" spans="1:2" x14ac:dyDescent="0.25">
      <c r="A133" s="8" t="s">
        <v>138</v>
      </c>
      <c r="B133" s="8">
        <v>2520</v>
      </c>
    </row>
    <row r="134" spans="1:2" x14ac:dyDescent="0.25">
      <c r="A134" s="8" t="s">
        <v>23</v>
      </c>
      <c r="B134" s="8">
        <v>3509</v>
      </c>
    </row>
    <row r="135" spans="1:2" x14ac:dyDescent="0.25">
      <c r="A135" s="8" t="s">
        <v>24</v>
      </c>
      <c r="B135" s="8">
        <v>109</v>
      </c>
    </row>
    <row r="136" spans="1:2" x14ac:dyDescent="0.25">
      <c r="A136" s="8" t="s">
        <v>139</v>
      </c>
      <c r="B136" s="8">
        <v>108</v>
      </c>
    </row>
    <row r="137" spans="1:2" x14ac:dyDescent="0.25">
      <c r="A137" s="8" t="s">
        <v>140</v>
      </c>
      <c r="B137" s="8">
        <v>5165</v>
      </c>
    </row>
    <row r="138" spans="1:2" x14ac:dyDescent="0.25">
      <c r="A138" s="8" t="s">
        <v>141</v>
      </c>
      <c r="B138" s="8">
        <v>566</v>
      </c>
    </row>
    <row r="139" spans="1:2" x14ac:dyDescent="0.25">
      <c r="A139" s="8" t="s">
        <v>142</v>
      </c>
      <c r="B139" s="8">
        <v>1242</v>
      </c>
    </row>
    <row r="140" spans="1:2" x14ac:dyDescent="0.25">
      <c r="A140" s="8" t="s">
        <v>143</v>
      </c>
      <c r="B140" s="8">
        <v>1243</v>
      </c>
    </row>
    <row r="141" spans="1:2" x14ac:dyDescent="0.25">
      <c r="A141" s="8" t="s">
        <v>144</v>
      </c>
      <c r="B141" s="8">
        <v>572</v>
      </c>
    </row>
    <row r="142" spans="1:2" x14ac:dyDescent="0.25">
      <c r="A142" s="8" t="s">
        <v>145</v>
      </c>
      <c r="B142" s="8">
        <v>1308</v>
      </c>
    </row>
    <row r="143" spans="1:2" x14ac:dyDescent="0.25">
      <c r="A143" s="8" t="s">
        <v>146</v>
      </c>
      <c r="B143" s="8">
        <v>1561</v>
      </c>
    </row>
    <row r="144" spans="1:2" x14ac:dyDescent="0.25">
      <c r="A144" s="8" t="s">
        <v>271</v>
      </c>
      <c r="B144" s="8">
        <v>1308</v>
      </c>
    </row>
    <row r="145" spans="1:2" x14ac:dyDescent="0.25">
      <c r="A145" s="8" t="s">
        <v>147</v>
      </c>
      <c r="B145" s="8">
        <v>891</v>
      </c>
    </row>
    <row r="146" spans="1:2" x14ac:dyDescent="0.25">
      <c r="A146" s="8" t="s">
        <v>148</v>
      </c>
      <c r="B146" s="8">
        <v>2123</v>
      </c>
    </row>
    <row r="147" spans="1:2" x14ac:dyDescent="0.25">
      <c r="A147" s="8" t="s">
        <v>149</v>
      </c>
      <c r="B147" s="8">
        <v>5384</v>
      </c>
    </row>
    <row r="148" spans="1:2" x14ac:dyDescent="0.25">
      <c r="A148" s="8" t="s">
        <v>25</v>
      </c>
      <c r="B148" s="8">
        <v>2804</v>
      </c>
    </row>
    <row r="149" spans="1:2" x14ac:dyDescent="0.25">
      <c r="A149" s="8" t="s">
        <v>150</v>
      </c>
      <c r="B149" s="8">
        <v>3407</v>
      </c>
    </row>
    <row r="150" spans="1:2" x14ac:dyDescent="0.25">
      <c r="A150" s="8" t="s">
        <v>151</v>
      </c>
      <c r="B150" s="8">
        <v>3132</v>
      </c>
    </row>
    <row r="151" spans="1:2" x14ac:dyDescent="0.25">
      <c r="A151" s="8" t="s">
        <v>152</v>
      </c>
      <c r="B151" s="8">
        <v>2823</v>
      </c>
    </row>
    <row r="152" spans="1:2" x14ac:dyDescent="0.25">
      <c r="A152" s="8" t="s">
        <v>153</v>
      </c>
      <c r="B152" s="8">
        <v>2824</v>
      </c>
    </row>
    <row r="153" spans="1:2" x14ac:dyDescent="0.25">
      <c r="A153" s="8" t="s">
        <v>154</v>
      </c>
      <c r="B153" s="8">
        <v>597</v>
      </c>
    </row>
    <row r="154" spans="1:2" x14ac:dyDescent="0.25">
      <c r="A154" s="8" t="s">
        <v>155</v>
      </c>
      <c r="B154" s="8">
        <v>1566</v>
      </c>
    </row>
    <row r="155" spans="1:2" x14ac:dyDescent="0.25">
      <c r="A155" s="8" t="s">
        <v>156</v>
      </c>
      <c r="B155" s="8">
        <v>4260</v>
      </c>
    </row>
    <row r="156" spans="1:2" x14ac:dyDescent="0.25">
      <c r="A156" s="8" t="s">
        <v>157</v>
      </c>
      <c r="B156" s="8">
        <v>1911</v>
      </c>
    </row>
    <row r="157" spans="1:2" x14ac:dyDescent="0.25">
      <c r="A157" s="8" t="s">
        <v>158</v>
      </c>
      <c r="B157" s="8">
        <v>5302</v>
      </c>
    </row>
    <row r="158" spans="1:2" x14ac:dyDescent="0.25">
      <c r="A158" s="8" t="s">
        <v>159</v>
      </c>
      <c r="B158" s="8">
        <v>1562</v>
      </c>
    </row>
    <row r="159" spans="1:2" x14ac:dyDescent="0.25">
      <c r="A159" s="8" t="s">
        <v>160</v>
      </c>
      <c r="B159" s="8">
        <v>3511</v>
      </c>
    </row>
    <row r="160" spans="1:2" x14ac:dyDescent="0.25">
      <c r="A160" s="8" t="s">
        <v>161</v>
      </c>
      <c r="B160" s="8">
        <v>3515</v>
      </c>
    </row>
    <row r="161" spans="1:2" x14ac:dyDescent="0.25">
      <c r="A161" s="8" t="s">
        <v>162</v>
      </c>
      <c r="B161" s="8">
        <v>804</v>
      </c>
    </row>
    <row r="162" spans="1:2" x14ac:dyDescent="0.25">
      <c r="A162" s="8" t="s">
        <v>163</v>
      </c>
      <c r="B162" s="8">
        <v>1542</v>
      </c>
    </row>
    <row r="163" spans="1:2" x14ac:dyDescent="0.25">
      <c r="A163" s="8" t="s">
        <v>164</v>
      </c>
      <c r="B163" s="8">
        <v>106</v>
      </c>
    </row>
    <row r="164" spans="1:2" x14ac:dyDescent="0.25">
      <c r="A164" s="8" t="s">
        <v>206</v>
      </c>
      <c r="B164" s="13"/>
    </row>
    <row r="165" spans="1:2" x14ac:dyDescent="0.25">
      <c r="A165" s="8" t="s">
        <v>165</v>
      </c>
      <c r="B165" s="8">
        <v>105</v>
      </c>
    </row>
    <row r="166" spans="1:2" x14ac:dyDescent="0.25">
      <c r="A166" s="8" t="s">
        <v>166</v>
      </c>
      <c r="B166" s="8">
        <v>104</v>
      </c>
    </row>
    <row r="167" spans="1:2" x14ac:dyDescent="0.25">
      <c r="A167" s="8" t="s">
        <v>167</v>
      </c>
      <c r="B167" s="8">
        <v>865</v>
      </c>
    </row>
    <row r="168" spans="1:2" x14ac:dyDescent="0.25">
      <c r="A168" s="8" t="s">
        <v>168</v>
      </c>
      <c r="B168" s="8">
        <v>4149</v>
      </c>
    </row>
    <row r="169" spans="1:2" x14ac:dyDescent="0.25">
      <c r="A169" s="8" t="s">
        <v>169</v>
      </c>
      <c r="B169" s="8">
        <v>3415</v>
      </c>
    </row>
    <row r="170" spans="1:2" x14ac:dyDescent="0.25">
      <c r="A170" s="8" t="s">
        <v>170</v>
      </c>
      <c r="B170" s="8">
        <v>1271</v>
      </c>
    </row>
    <row r="171" spans="1:2" x14ac:dyDescent="0.25">
      <c r="A171" s="8" t="s">
        <v>171</v>
      </c>
      <c r="B171" s="8">
        <v>5383</v>
      </c>
    </row>
    <row r="172" spans="1:2" x14ac:dyDescent="0.25">
      <c r="A172" s="8" t="s">
        <v>172</v>
      </c>
      <c r="B172" s="8">
        <v>4376</v>
      </c>
    </row>
    <row r="173" spans="1:2" x14ac:dyDescent="0.25">
      <c r="A173" s="8" t="s">
        <v>173</v>
      </c>
      <c r="B173" s="8">
        <v>657</v>
      </c>
    </row>
    <row r="174" spans="1:2" x14ac:dyDescent="0.25">
      <c r="A174" s="8" t="s">
        <v>174</v>
      </c>
      <c r="B174" s="8">
        <v>2841</v>
      </c>
    </row>
    <row r="175" spans="1:2" x14ac:dyDescent="0.25">
      <c r="A175" s="8" t="s">
        <v>175</v>
      </c>
      <c r="B175" s="8">
        <v>472</v>
      </c>
    </row>
    <row r="176" spans="1:2" x14ac:dyDescent="0.25">
      <c r="A176" s="8" t="s">
        <v>176</v>
      </c>
      <c r="B176" s="8">
        <v>539</v>
      </c>
    </row>
    <row r="177" spans="1:2" x14ac:dyDescent="0.25">
      <c r="A177" s="8" t="s">
        <v>177</v>
      </c>
      <c r="B177" s="8">
        <v>530</v>
      </c>
    </row>
    <row r="178" spans="1:2" x14ac:dyDescent="0.25">
      <c r="A178" s="8" t="s">
        <v>178</v>
      </c>
      <c r="B178" s="8">
        <v>431</v>
      </c>
    </row>
    <row r="179" spans="1:2" x14ac:dyDescent="0.25">
      <c r="A179" s="8" t="s">
        <v>179</v>
      </c>
      <c r="B179" s="8">
        <v>429</v>
      </c>
    </row>
    <row r="180" spans="1:2" x14ac:dyDescent="0.25">
      <c r="A180" s="8" t="s">
        <v>180</v>
      </c>
      <c r="B180" s="8">
        <v>1272</v>
      </c>
    </row>
    <row r="181" spans="1:2" x14ac:dyDescent="0.25">
      <c r="A181" s="8" t="s">
        <v>181</v>
      </c>
      <c r="B181" s="8">
        <v>4308</v>
      </c>
    </row>
    <row r="182" spans="1:2" x14ac:dyDescent="0.25">
      <c r="A182" s="8" t="s">
        <v>182</v>
      </c>
      <c r="B182" s="8">
        <v>2801</v>
      </c>
    </row>
    <row r="183" spans="1:2" x14ac:dyDescent="0.25">
      <c r="A183" s="8" t="s">
        <v>183</v>
      </c>
      <c r="B183" s="8">
        <v>1704</v>
      </c>
    </row>
    <row r="184" spans="1:2" x14ac:dyDescent="0.25">
      <c r="A184" s="8" t="s">
        <v>184</v>
      </c>
      <c r="B184" s="8">
        <v>1703</v>
      </c>
    </row>
    <row r="185" spans="1:2" x14ac:dyDescent="0.25">
      <c r="A185" s="8" t="s">
        <v>185</v>
      </c>
      <c r="B185" s="8">
        <v>2540</v>
      </c>
    </row>
    <row r="186" spans="1:2" x14ac:dyDescent="0.25">
      <c r="A186" s="8" t="s">
        <v>186</v>
      </c>
      <c r="B186" s="8">
        <v>1981</v>
      </c>
    </row>
    <row r="187" spans="1:2" x14ac:dyDescent="0.25">
      <c r="A187" s="8" t="s">
        <v>187</v>
      </c>
      <c r="B187" s="8">
        <v>2189</v>
      </c>
    </row>
    <row r="188" spans="1:2" x14ac:dyDescent="0.25">
      <c r="A188" s="8" t="s">
        <v>188</v>
      </c>
      <c r="B188" s="8">
        <v>1904</v>
      </c>
    </row>
    <row r="189" spans="1:2" x14ac:dyDescent="0.25">
      <c r="A189" s="8" t="s">
        <v>189</v>
      </c>
      <c r="B189" s="8">
        <v>1903</v>
      </c>
    </row>
    <row r="190" spans="1:2" x14ac:dyDescent="0.25">
      <c r="A190" s="8" t="s">
        <v>190</v>
      </c>
      <c r="B190" s="8">
        <v>2622</v>
      </c>
    </row>
    <row r="191" spans="1:2" x14ac:dyDescent="0.25">
      <c r="A191" s="8" t="s">
        <v>191</v>
      </c>
      <c r="B191" s="8">
        <v>596</v>
      </c>
    </row>
    <row r="192" spans="1:2" x14ac:dyDescent="0.25">
      <c r="A192" s="8" t="s">
        <v>192</v>
      </c>
      <c r="B192" s="8">
        <v>3835</v>
      </c>
    </row>
    <row r="193" spans="1:2" x14ac:dyDescent="0.25">
      <c r="A193" s="8" t="s">
        <v>193</v>
      </c>
      <c r="B193" s="8">
        <v>1098</v>
      </c>
    </row>
    <row r="194" spans="1:2" x14ac:dyDescent="0.25">
      <c r="A194" s="8" t="s">
        <v>194</v>
      </c>
      <c r="B194" s="8">
        <v>2208</v>
      </c>
    </row>
    <row r="195" spans="1:2" x14ac:dyDescent="0.25">
      <c r="A195" s="8" t="s">
        <v>195</v>
      </c>
      <c r="B195" s="8"/>
    </row>
    <row r="196" spans="1:2" x14ac:dyDescent="0.25">
      <c r="A196" s="8" t="s">
        <v>196</v>
      </c>
      <c r="B196" s="8"/>
    </row>
    <row r="197" spans="1:2" x14ac:dyDescent="0.25">
      <c r="A197" s="8" t="s">
        <v>197</v>
      </c>
      <c r="B197" s="8"/>
    </row>
    <row r="198" spans="1:2" x14ac:dyDescent="0.25">
      <c r="A198" s="8" t="s">
        <v>198</v>
      </c>
      <c r="B198" s="8"/>
    </row>
    <row r="199" spans="1:2" x14ac:dyDescent="0.25">
      <c r="A199" s="8" t="s">
        <v>199</v>
      </c>
      <c r="B199" s="8"/>
    </row>
    <row r="200" spans="1:2" x14ac:dyDescent="0.25">
      <c r="A200" s="8" t="s">
        <v>200</v>
      </c>
      <c r="B200" s="8"/>
    </row>
    <row r="201" spans="1:2" x14ac:dyDescent="0.25">
      <c r="A201" s="8" t="s">
        <v>201</v>
      </c>
      <c r="B201" s="8"/>
    </row>
    <row r="202" spans="1:2" x14ac:dyDescent="0.25">
      <c r="A202" s="8" t="s">
        <v>202</v>
      </c>
      <c r="B202" s="8"/>
    </row>
    <row r="203" spans="1:2" x14ac:dyDescent="0.25">
      <c r="A203" s="8" t="s">
        <v>203</v>
      </c>
      <c r="B203" s="8"/>
    </row>
    <row r="204" spans="1:2" x14ac:dyDescent="0.25">
      <c r="A204" s="8" t="s">
        <v>204</v>
      </c>
      <c r="B204" s="8"/>
    </row>
    <row r="205" spans="1:2" x14ac:dyDescent="0.25">
      <c r="A205" s="8" t="s">
        <v>205</v>
      </c>
      <c r="B205" s="8"/>
    </row>
    <row r="206" spans="1:2" x14ac:dyDescent="0.25">
      <c r="A206" s="8" t="s">
        <v>213</v>
      </c>
      <c r="B206" s="8"/>
    </row>
    <row r="207" spans="1:2" x14ac:dyDescent="0.25">
      <c r="A207" s="8" t="s">
        <v>219</v>
      </c>
      <c r="B207" s="8"/>
    </row>
    <row r="208" spans="1:2" x14ac:dyDescent="0.25">
      <c r="A208" s="8" t="s">
        <v>228</v>
      </c>
      <c r="B208" s="8"/>
    </row>
    <row r="209" spans="1:2" x14ac:dyDescent="0.25">
      <c r="A209" s="8" t="s">
        <v>222</v>
      </c>
      <c r="B209" s="8"/>
    </row>
    <row r="210" spans="1:2" x14ac:dyDescent="0.25">
      <c r="A210" s="8" t="s">
        <v>229</v>
      </c>
      <c r="B210" s="8"/>
    </row>
    <row r="211" spans="1:2" x14ac:dyDescent="0.25">
      <c r="A211" s="8" t="s">
        <v>227</v>
      </c>
      <c r="B211" s="8"/>
    </row>
    <row r="212" spans="1:2" x14ac:dyDescent="0.25">
      <c r="A212" s="8" t="s">
        <v>226</v>
      </c>
      <c r="B212" s="8"/>
    </row>
    <row r="213" spans="1:2" x14ac:dyDescent="0.25">
      <c r="A213" s="8" t="s">
        <v>230</v>
      </c>
      <c r="B213" s="8"/>
    </row>
    <row r="214" spans="1:2" x14ac:dyDescent="0.25">
      <c r="A214" s="8" t="s">
        <v>231</v>
      </c>
      <c r="B214" s="8"/>
    </row>
    <row r="215" spans="1:2" x14ac:dyDescent="0.25">
      <c r="A215" s="8" t="s">
        <v>232</v>
      </c>
      <c r="B215" s="8"/>
    </row>
    <row r="216" spans="1:2" x14ac:dyDescent="0.25">
      <c r="A216" s="8" t="s">
        <v>233</v>
      </c>
      <c r="B216" s="8"/>
    </row>
    <row r="217" spans="1:2" x14ac:dyDescent="0.25">
      <c r="A217" s="8" t="s">
        <v>234</v>
      </c>
      <c r="B217" s="8"/>
    </row>
    <row r="218" spans="1:2" x14ac:dyDescent="0.25">
      <c r="A218" s="8" t="s">
        <v>235</v>
      </c>
      <c r="B218" s="8"/>
    </row>
    <row r="219" spans="1:2" x14ac:dyDescent="0.25">
      <c r="A219" s="8" t="s">
        <v>254</v>
      </c>
      <c r="B219" s="8"/>
    </row>
    <row r="220" spans="1:2" x14ac:dyDescent="0.25">
      <c r="A220" s="8" t="s">
        <v>262</v>
      </c>
      <c r="B220" s="22"/>
    </row>
    <row r="221" spans="1:2" x14ac:dyDescent="0.25">
      <c r="A221" s="8" t="s">
        <v>268</v>
      </c>
      <c r="B221" s="22"/>
    </row>
    <row r="222" spans="1:2" x14ac:dyDescent="0.25">
      <c r="A222" s="8" t="s">
        <v>269</v>
      </c>
      <c r="B222" s="22"/>
    </row>
    <row r="223" spans="1:2" x14ac:dyDescent="0.25">
      <c r="A223" s="8" t="s">
        <v>275</v>
      </c>
      <c r="B223" s="22"/>
    </row>
    <row r="224" spans="1:2" x14ac:dyDescent="0.25">
      <c r="A224" s="8" t="s">
        <v>267</v>
      </c>
      <c r="B224" s="22"/>
    </row>
    <row r="225" spans="1:2" x14ac:dyDescent="0.25">
      <c r="A225" s="8" t="s">
        <v>270</v>
      </c>
      <c r="B225" s="22"/>
    </row>
    <row r="226" spans="1:2" x14ac:dyDescent="0.25">
      <c r="A226" s="8" t="s">
        <v>264</v>
      </c>
      <c r="B226" s="8"/>
    </row>
    <row r="227" spans="1:2" x14ac:dyDescent="0.25">
      <c r="A227" s="8" t="s">
        <v>272</v>
      </c>
      <c r="B227" s="8"/>
    </row>
    <row r="228" spans="1:2" x14ac:dyDescent="0.25">
      <c r="A228" s="8" t="s">
        <v>266</v>
      </c>
      <c r="B228" s="8"/>
    </row>
    <row r="229" spans="1:2" x14ac:dyDescent="0.25">
      <c r="A229" s="8" t="s">
        <v>273</v>
      </c>
      <c r="B229" s="8"/>
    </row>
    <row r="230" spans="1:2" x14ac:dyDescent="0.25">
      <c r="A230" s="8" t="s">
        <v>274</v>
      </c>
      <c r="B230" s="8"/>
    </row>
    <row r="231" spans="1:2" x14ac:dyDescent="0.25">
      <c r="A231" s="8" t="s">
        <v>276</v>
      </c>
      <c r="B231" s="8"/>
    </row>
    <row r="232" spans="1:2" x14ac:dyDescent="0.25">
      <c r="A232" s="8" t="s">
        <v>277</v>
      </c>
      <c r="B232" s="8"/>
    </row>
    <row r="233" spans="1:2" x14ac:dyDescent="0.25">
      <c r="A233" s="8" t="s">
        <v>278</v>
      </c>
      <c r="B233" s="8"/>
    </row>
    <row r="234" spans="1:2" x14ac:dyDescent="0.25">
      <c r="A234" s="8" t="s">
        <v>280</v>
      </c>
      <c r="B234" s="8"/>
    </row>
    <row r="235" spans="1:2" x14ac:dyDescent="0.25">
      <c r="A235" s="8" t="s">
        <v>282</v>
      </c>
      <c r="B235" s="8"/>
    </row>
    <row r="236" spans="1:2" x14ac:dyDescent="0.25">
      <c r="A236" s="8" t="s">
        <v>281</v>
      </c>
      <c r="B236" s="8"/>
    </row>
    <row r="237" spans="1:2" x14ac:dyDescent="0.25">
      <c r="A237" s="8" t="s">
        <v>284</v>
      </c>
      <c r="B237" s="8"/>
    </row>
    <row r="238" spans="1:2" x14ac:dyDescent="0.25">
      <c r="A238" s="8" t="s">
        <v>283</v>
      </c>
      <c r="B238" s="8"/>
    </row>
    <row r="239" spans="1:2" x14ac:dyDescent="0.25">
      <c r="A239" s="8" t="s">
        <v>286</v>
      </c>
      <c r="B239" s="8"/>
    </row>
    <row r="240" spans="1:2" x14ac:dyDescent="0.25">
      <c r="A240" s="8" t="s">
        <v>287</v>
      </c>
      <c r="B240" s="8"/>
    </row>
    <row r="241" spans="1:2" x14ac:dyDescent="0.25">
      <c r="A241" s="8" t="s">
        <v>288</v>
      </c>
      <c r="B241" s="8"/>
    </row>
    <row r="242" spans="1:2" x14ac:dyDescent="0.25">
      <c r="A242" s="17" t="s">
        <v>289</v>
      </c>
      <c r="B242" s="8"/>
    </row>
    <row r="243" spans="1:2" x14ac:dyDescent="0.25">
      <c r="A243" s="17" t="s">
        <v>290</v>
      </c>
      <c r="B243" s="35"/>
    </row>
    <row r="244" spans="1:2" x14ac:dyDescent="0.25">
      <c r="A244" s="34" t="s">
        <v>291</v>
      </c>
      <c r="B244" s="35"/>
    </row>
    <row r="245" spans="1:2" x14ac:dyDescent="0.25">
      <c r="A245" s="17" t="s">
        <v>292</v>
      </c>
      <c r="B245" s="35"/>
    </row>
    <row r="246" spans="1:2" x14ac:dyDescent="0.25">
      <c r="A246" s="34" t="s">
        <v>293</v>
      </c>
      <c r="B246" s="35"/>
    </row>
    <row r="247" spans="1:2" x14ac:dyDescent="0.25">
      <c r="A247" s="34" t="s">
        <v>294</v>
      </c>
      <c r="B247" s="35"/>
    </row>
    <row r="248" spans="1:2" x14ac:dyDescent="0.25">
      <c r="A248" s="17" t="s">
        <v>295</v>
      </c>
      <c r="B248" s="35"/>
    </row>
    <row r="249" spans="1:2" x14ac:dyDescent="0.25">
      <c r="A249" s="17" t="s">
        <v>297</v>
      </c>
      <c r="B249" s="37"/>
    </row>
    <row r="250" spans="1:2" x14ac:dyDescent="0.25">
      <c r="A250" s="36" t="s">
        <v>298</v>
      </c>
      <c r="B250" s="37"/>
    </row>
    <row r="251" spans="1:2" x14ac:dyDescent="0.25">
      <c r="A251" s="36" t="s">
        <v>301</v>
      </c>
      <c r="B251" s="37"/>
    </row>
    <row r="252" spans="1:2" x14ac:dyDescent="0.25">
      <c r="A252" s="36" t="s">
        <v>302</v>
      </c>
      <c r="B252" s="37"/>
    </row>
    <row r="253" spans="1:2" x14ac:dyDescent="0.25">
      <c r="A253" s="36" t="s">
        <v>303</v>
      </c>
      <c r="B253" s="37"/>
    </row>
    <row r="254" spans="1:2" x14ac:dyDescent="0.25">
      <c r="A254" s="36" t="s">
        <v>304</v>
      </c>
      <c r="B254" s="37"/>
    </row>
    <row r="255" spans="1:2" x14ac:dyDescent="0.25">
      <c r="A255" s="36" t="s">
        <v>305</v>
      </c>
      <c r="B255" s="37"/>
    </row>
    <row r="256" spans="1:2" x14ac:dyDescent="0.25">
      <c r="A256" s="36" t="s">
        <v>306</v>
      </c>
      <c r="B256" s="37"/>
    </row>
    <row r="257" spans="1:2" x14ac:dyDescent="0.25">
      <c r="A257" s="36" t="s">
        <v>308</v>
      </c>
      <c r="B257" s="37"/>
    </row>
    <row r="258" spans="1:2" x14ac:dyDescent="0.25">
      <c r="A258" s="17" t="s">
        <v>309</v>
      </c>
      <c r="B258" s="37"/>
    </row>
    <row r="259" spans="1:2" x14ac:dyDescent="0.25">
      <c r="A259" s="17" t="s">
        <v>310</v>
      </c>
      <c r="B259" s="37"/>
    </row>
    <row r="260" spans="1:2" x14ac:dyDescent="0.25">
      <c r="A260" s="17" t="s">
        <v>311</v>
      </c>
      <c r="B260" s="37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3C53D-6D9D-428B-8548-8D473332382D}">
  <dimension ref="A1:A22"/>
  <sheetViews>
    <sheetView workbookViewId="0">
      <selection activeCell="A2" sqref="A2"/>
    </sheetView>
  </sheetViews>
  <sheetFormatPr baseColWidth="10" defaultRowHeight="15" x14ac:dyDescent="0.25"/>
  <cols>
    <col min="1" max="1" width="65.42578125" customWidth="1"/>
  </cols>
  <sheetData>
    <row r="1" spans="1:1" x14ac:dyDescent="0.25">
      <c r="A1" t="s">
        <v>314</v>
      </c>
    </row>
    <row r="2" spans="1:1" x14ac:dyDescent="0.25">
      <c r="A2" t="s">
        <v>236</v>
      </c>
    </row>
    <row r="3" spans="1:1" x14ac:dyDescent="0.25">
      <c r="A3" t="s">
        <v>237</v>
      </c>
    </row>
    <row r="4" spans="1:1" x14ac:dyDescent="0.25">
      <c r="A4" t="s">
        <v>238</v>
      </c>
    </row>
    <row r="5" spans="1:1" x14ac:dyDescent="0.25">
      <c r="A5" t="s">
        <v>239</v>
      </c>
    </row>
    <row r="6" spans="1:1" x14ac:dyDescent="0.25">
      <c r="A6" t="s">
        <v>240</v>
      </c>
    </row>
    <row r="7" spans="1:1" x14ac:dyDescent="0.25">
      <c r="A7" t="s">
        <v>241</v>
      </c>
    </row>
    <row r="8" spans="1:1" x14ac:dyDescent="0.25">
      <c r="A8" t="s">
        <v>242</v>
      </c>
    </row>
    <row r="9" spans="1:1" x14ac:dyDescent="0.25">
      <c r="A9" t="s">
        <v>243</v>
      </c>
    </row>
    <row r="10" spans="1:1" x14ac:dyDescent="0.25">
      <c r="A10" t="s">
        <v>244</v>
      </c>
    </row>
    <row r="11" spans="1:1" x14ac:dyDescent="0.25">
      <c r="A11" t="s">
        <v>245</v>
      </c>
    </row>
    <row r="12" spans="1:1" x14ac:dyDescent="0.25">
      <c r="A12" t="s">
        <v>246</v>
      </c>
    </row>
    <row r="13" spans="1:1" x14ac:dyDescent="0.25">
      <c r="A13" t="s">
        <v>247</v>
      </c>
    </row>
    <row r="14" spans="1:1" x14ac:dyDescent="0.25">
      <c r="A14" t="s">
        <v>248</v>
      </c>
    </row>
    <row r="15" spans="1:1" x14ac:dyDescent="0.25">
      <c r="A15" t="s">
        <v>249</v>
      </c>
    </row>
    <row r="16" spans="1:1" x14ac:dyDescent="0.25">
      <c r="A16" t="s">
        <v>250</v>
      </c>
    </row>
    <row r="17" spans="1:1" x14ac:dyDescent="0.25">
      <c r="A17" t="s">
        <v>296</v>
      </c>
    </row>
    <row r="18" spans="1:1" x14ac:dyDescent="0.25">
      <c r="A18" t="s">
        <v>299</v>
      </c>
    </row>
    <row r="19" spans="1:1" x14ac:dyDescent="0.25">
      <c r="A19" t="s">
        <v>300</v>
      </c>
    </row>
    <row r="20" spans="1:1" x14ac:dyDescent="0.25">
      <c r="A20" t="s">
        <v>307</v>
      </c>
    </row>
    <row r="21" spans="1:1" x14ac:dyDescent="0.25">
      <c r="A21" t="s">
        <v>312</v>
      </c>
    </row>
    <row r="22" spans="1:1" x14ac:dyDescent="0.25">
      <c r="A22" t="s">
        <v>313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20A4B-4F11-4835-802B-ACF96F8535AA}">
  <dimension ref="A1:A3"/>
  <sheetViews>
    <sheetView workbookViewId="0">
      <selection activeCell="A2" sqref="A2"/>
    </sheetView>
  </sheetViews>
  <sheetFormatPr baseColWidth="10" defaultRowHeight="15" x14ac:dyDescent="0.25"/>
  <cols>
    <col min="1" max="1" width="57.28515625" customWidth="1"/>
  </cols>
  <sheetData>
    <row r="1" spans="1:1" ht="150" x14ac:dyDescent="0.25">
      <c r="A1" s="20" t="s">
        <v>251</v>
      </c>
    </row>
    <row r="2" spans="1:1" ht="229.5" customHeight="1" x14ac:dyDescent="0.25">
      <c r="A2" s="19" t="s">
        <v>252</v>
      </c>
    </row>
    <row r="3" spans="1:1" ht="225" x14ac:dyDescent="0.25">
      <c r="A3" s="18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RECETA</vt:lpstr>
      <vt:lpstr>DOSIS PEDIA</vt:lpstr>
      <vt:lpstr>MEDICAMENTOS</vt:lpstr>
      <vt:lpstr>POSOLOGÍA</vt:lpstr>
      <vt:lpstr>M. GRALES</vt:lpstr>
      <vt:lpstr>LISTAMEDICAMENTOS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del Cielo Alberto Galicia</dc:creator>
  <cp:lastModifiedBy>MARIA ALBERTO GALICIA</cp:lastModifiedBy>
  <cp:lastPrinted>2026-10-04T03:19:23Z</cp:lastPrinted>
  <dcterms:created xsi:type="dcterms:W3CDTF">2026-02-09T00:47:51Z</dcterms:created>
  <dcterms:modified xsi:type="dcterms:W3CDTF">2026-10-04T03:30:24Z</dcterms:modified>
</cp:coreProperties>
</file>